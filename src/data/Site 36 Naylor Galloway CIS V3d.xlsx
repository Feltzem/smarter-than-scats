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mc:AlternateContent xmlns:mc="http://schemas.openxmlformats.org/markup-compatibility/2006">
    <mc:Choice Requires="x15">
      <x15ac:absPath xmlns:x15ac="http://schemas.microsoft.com/office/spreadsheetml/2010/11/ac" url="https://hccgovtnz.sharepoint.com/sites/tahi-opactivity/Shared Documents/Traffic Signals/Traffic Signals and ITS asset data/Traffic Signal Sites/36_Galloway_Naylor/"/>
    </mc:Choice>
  </mc:AlternateContent>
  <xr:revisionPtr revIDLastSave="2" documentId="11_0EAEB7D5CD56A0301759CF1AD3C7EF0678313739" xr6:coauthVersionLast="47" xr6:coauthVersionMax="47" xr10:uidLastSave="{DFFC239D-8DB0-4B8E-95A5-71E25E90E397}"/>
  <bookViews>
    <workbookView xWindow="-108" yWindow="-108" windowWidth="23256" windowHeight="12576" tabRatio="863" xr2:uid="{00000000-000D-0000-FFFF-FFFF00000000}"/>
  </bookViews>
  <sheets>
    <sheet name="1 - Cover" sheetId="20" r:id="rId1"/>
    <sheet name="2 - Install notes" sheetId="18" r:id="rId2"/>
    <sheet name="2a - Install notes SCATS CONFIG" sheetId="27" r:id="rId3"/>
    <sheet name="3 - Signal Group Info" sheetId="3" r:id="rId4"/>
    <sheet name="4 - Phase Control" sheetId="22" r:id="rId5"/>
    <sheet name="5 - Detectors " sheetId="24" r:id="rId6"/>
    <sheet name="5a - DAC's" sheetId="25" r:id="rId7"/>
    <sheet name="6 - Time Settings" sheetId="21" r:id="rId8"/>
    <sheet name="7 - Peds" sheetId="6" r:id="rId9"/>
    <sheet name="8 - Spec.Timers &amp; Notes" sheetId="17" r:id="rId10"/>
    <sheet name="9 - Flexi &amp; Special Flags" sheetId="7" r:id="rId11"/>
    <sheet name="10 - Conflict Matrix" sheetId="13" r:id="rId12"/>
    <sheet name="11 - All Red" sheetId="23" r:id="rId13"/>
    <sheet name="Lists" sheetId="26" state="hidden" r:id="rId14"/>
  </sheets>
  <externalReferences>
    <externalReference r:id="rId15"/>
  </externalReferences>
  <definedNames>
    <definedName name="phasegroups">'3 - Signal Group Info'!$B$6:$H$6</definedName>
    <definedName name="phasing" localSheetId="2">'[1]8 - Spec.Timers &amp; Notes'!$S$35:$S$43</definedName>
    <definedName name="phasing">'8 - Spec.Timers &amp; Notes'!$S$35:$S$43</definedName>
    <definedName name="_xlnm.Print_Area" localSheetId="0">'1 - Cover'!$A$1:$I$61</definedName>
    <definedName name="_xlnm.Print_Area" localSheetId="11">'10 - Conflict Matrix'!$A$1:$Z$31</definedName>
    <definedName name="_xlnm.Print_Area" localSheetId="12">'11 - All Red'!$A$1:$P$58</definedName>
    <definedName name="_xlnm.Print_Area" localSheetId="1">'2 - Install notes'!$A$1:$I$38</definedName>
    <definedName name="_xlnm.Print_Area" localSheetId="2">'2a - Install notes SCATS CONFIG'!$A$1:$I$11</definedName>
    <definedName name="_xlnm.Print_Area" localSheetId="3">'3 - Signal Group Info'!$A$1:$R$42</definedName>
    <definedName name="_xlnm.Print_Area" localSheetId="4">'4 - Phase Control'!$A$1:$I$37</definedName>
    <definedName name="_xlnm.Print_Area" localSheetId="5">'5 - Detectors '!$A$1:$L$55</definedName>
    <definedName name="_xlnm.Print_Area" localSheetId="6">'5a - DAC''s'!$A$1:$F$51</definedName>
    <definedName name="_xlnm.Print_Area" localSheetId="7">'6 - Time Settings'!$A$1:$M$62</definedName>
    <definedName name="_xlnm.Print_Area" localSheetId="8">'7 - Peds'!$A$1:$L$45</definedName>
    <definedName name="_xlnm.Print_Area" localSheetId="9">'8 - Spec.Timers &amp; Notes'!$A$1:$L$54</definedName>
    <definedName name="_xlnm.Print_Area" localSheetId="10">'9 - Flexi &amp; Special Flags'!$A$1:$AF$65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3" l="1"/>
  <c r="A28" i="3"/>
  <c r="N38" i="23" l="1"/>
  <c r="M38" i="23"/>
  <c r="L38" i="23"/>
  <c r="N36" i="23"/>
  <c r="M36" i="23"/>
  <c r="L36" i="23"/>
  <c r="O36" i="23" s="1"/>
  <c r="P36" i="23" s="1"/>
  <c r="A53" i="21"/>
  <c r="A27" i="3"/>
  <c r="C41" i="7"/>
  <c r="F36" i="6"/>
  <c r="F34" i="6"/>
  <c r="F32" i="6"/>
  <c r="H28" i="21"/>
  <c r="G28" i="21"/>
  <c r="F28" i="21"/>
  <c r="B28" i="21"/>
  <c r="H31" i="21"/>
  <c r="G31" i="21"/>
  <c r="F31" i="21"/>
  <c r="B31" i="21"/>
  <c r="K17" i="21"/>
  <c r="D20" i="21"/>
  <c r="D31" i="21" s="1"/>
  <c r="C20" i="21"/>
  <c r="C31" i="21" s="1"/>
  <c r="D23" i="21"/>
  <c r="D28" i="21" s="1"/>
  <c r="C23" i="21"/>
  <c r="C28" i="21" s="1"/>
  <c r="B48" i="21"/>
  <c r="C52" i="21"/>
  <c r="B50" i="21"/>
  <c r="A49" i="21"/>
  <c r="H30" i="21"/>
  <c r="G30" i="21"/>
  <c r="F30" i="21"/>
  <c r="H29" i="21"/>
  <c r="G29" i="21"/>
  <c r="F29" i="21"/>
  <c r="C30" i="21"/>
  <c r="D29" i="21"/>
  <c r="C29" i="21"/>
  <c r="H22" i="21"/>
  <c r="G22" i="21"/>
  <c r="F22" i="21"/>
  <c r="H21" i="21"/>
  <c r="G21" i="21"/>
  <c r="F21" i="21"/>
  <c r="C22" i="21"/>
  <c r="D21" i="21"/>
  <c r="C21" i="21"/>
  <c r="B22" i="21"/>
  <c r="B21" i="21"/>
  <c r="B30" i="21"/>
  <c r="B29" i="21"/>
  <c r="O38" i="23" l="1"/>
  <c r="P38" i="23"/>
  <c r="B29" i="3"/>
  <c r="B28" i="3"/>
  <c r="B27" i="3"/>
  <c r="B30" i="3"/>
  <c r="F25" i="17" l="1"/>
  <c r="F24" i="17"/>
  <c r="F23" i="17"/>
  <c r="F22" i="17"/>
  <c r="H23" i="7" l="1"/>
  <c r="H22" i="7"/>
  <c r="B31" i="3" l="1"/>
  <c r="B32" i="3"/>
  <c r="A10" i="13" l="1"/>
  <c r="G2" i="27" l="1"/>
  <c r="G1" i="27"/>
  <c r="E2" i="27"/>
  <c r="B2" i="27"/>
  <c r="C1" i="27"/>
  <c r="AE3" i="13" l="1"/>
  <c r="AE1" i="13"/>
  <c r="AE2" i="13"/>
  <c r="AA5" i="3"/>
  <c r="O5" i="17"/>
  <c r="J38" i="24" l="1"/>
  <c r="I38" i="24"/>
  <c r="H38" i="24"/>
  <c r="G38" i="24"/>
  <c r="F38" i="24"/>
  <c r="E38" i="24"/>
  <c r="D38" i="24"/>
  <c r="C38" i="24"/>
  <c r="J35" i="24"/>
  <c r="I35" i="24"/>
  <c r="H35" i="24"/>
  <c r="G35" i="24"/>
  <c r="F35" i="24"/>
  <c r="E35" i="24"/>
  <c r="D35" i="24"/>
  <c r="C35" i="24"/>
  <c r="J32" i="24"/>
  <c r="I32" i="24"/>
  <c r="H32" i="24"/>
  <c r="G32" i="24"/>
  <c r="J29" i="24"/>
  <c r="I29" i="24"/>
  <c r="H29" i="24"/>
  <c r="G29" i="24"/>
  <c r="F29" i="24"/>
  <c r="E29" i="24"/>
  <c r="AI4" i="7" l="1"/>
  <c r="C39" i="7" l="1"/>
  <c r="C48" i="7"/>
  <c r="H22" i="18"/>
  <c r="K25" i="17" s="1"/>
  <c r="K23" i="17" l="1"/>
  <c r="R35" i="17"/>
  <c r="AA4" i="3"/>
  <c r="G6" i="3" l="1"/>
  <c r="D6" i="3"/>
  <c r="G21" i="3"/>
  <c r="E21" i="3"/>
  <c r="O4" i="17"/>
  <c r="AH4" i="13"/>
  <c r="J13" i="13" l="1"/>
  <c r="J11" i="13"/>
  <c r="H8" i="17"/>
  <c r="F8" i="17"/>
  <c r="J12" i="13"/>
  <c r="J9" i="13"/>
  <c r="J8" i="13"/>
  <c r="I11" i="13"/>
  <c r="H12" i="13"/>
  <c r="H11" i="13"/>
  <c r="K27" i="17" l="1"/>
  <c r="K11" i="6"/>
  <c r="A8" i="13"/>
  <c r="A9" i="13"/>
  <c r="A31" i="13"/>
  <c r="A30" i="13"/>
  <c r="A29" i="13"/>
  <c r="A28" i="13"/>
  <c r="A27" i="13"/>
  <c r="A26" i="13"/>
  <c r="A25" i="13"/>
  <c r="A24" i="13"/>
  <c r="A23" i="13"/>
  <c r="A22" i="13"/>
  <c r="A21" i="13"/>
  <c r="A20" i="13"/>
  <c r="A19" i="13"/>
  <c r="A18" i="13"/>
  <c r="A17" i="13"/>
  <c r="A16" i="13"/>
  <c r="A15" i="13"/>
  <c r="A14" i="13"/>
  <c r="A13" i="13"/>
  <c r="A12" i="13"/>
  <c r="A11" i="13"/>
  <c r="K13" i="21"/>
  <c r="H13" i="21" s="1"/>
  <c r="K12" i="21"/>
  <c r="E12" i="21" s="1"/>
  <c r="K11" i="21"/>
  <c r="L11" i="21" s="1"/>
  <c r="H18" i="7"/>
  <c r="K22" i="24"/>
  <c r="H4" i="7"/>
  <c r="B49" i="21"/>
  <c r="B53" i="21"/>
  <c r="H2" i="26"/>
  <c r="J2" i="26" s="1"/>
  <c r="K2" i="26" s="1"/>
  <c r="D11" i="26"/>
  <c r="E11" i="26" s="1"/>
  <c r="F11" i="26" s="1"/>
  <c r="D12" i="26"/>
  <c r="E12" i="26" s="1"/>
  <c r="F12" i="26" s="1"/>
  <c r="D13" i="26"/>
  <c r="E13" i="26" s="1"/>
  <c r="F13" i="26" s="1"/>
  <c r="D14" i="26"/>
  <c r="E14" i="26" s="1"/>
  <c r="F14" i="26" s="1"/>
  <c r="D15" i="26"/>
  <c r="E15" i="26" s="1"/>
  <c r="F15" i="26" s="1"/>
  <c r="D16" i="26"/>
  <c r="E16" i="26" s="1"/>
  <c r="F16" i="26" s="1"/>
  <c r="D17" i="26"/>
  <c r="E17" i="26" s="1"/>
  <c r="F17" i="26" s="1"/>
  <c r="D10" i="26"/>
  <c r="E10" i="26" s="1"/>
  <c r="F10" i="26" s="1"/>
  <c r="D3" i="26"/>
  <c r="E3" i="26" s="1"/>
  <c r="F3" i="26" s="1"/>
  <c r="D4" i="26"/>
  <c r="E4" i="26" s="1"/>
  <c r="F4" i="26" s="1"/>
  <c r="D5" i="26"/>
  <c r="E5" i="26" s="1"/>
  <c r="F5" i="26" s="1"/>
  <c r="D6" i="26"/>
  <c r="E6" i="26" s="1"/>
  <c r="F6" i="26" s="1"/>
  <c r="D7" i="26"/>
  <c r="E7" i="26" s="1"/>
  <c r="F7" i="26" s="1"/>
  <c r="D8" i="26"/>
  <c r="E8" i="26" s="1"/>
  <c r="F8" i="26" s="1"/>
  <c r="D9" i="26"/>
  <c r="E9" i="26" s="1"/>
  <c r="F9" i="26" s="1"/>
  <c r="D2" i="26"/>
  <c r="E2" i="26" s="1"/>
  <c r="F2" i="26" s="1"/>
  <c r="H11" i="26"/>
  <c r="L11" i="26" s="1"/>
  <c r="H12" i="26"/>
  <c r="L12" i="26" s="1"/>
  <c r="H13" i="26"/>
  <c r="I13" i="26" s="1"/>
  <c r="H14" i="26"/>
  <c r="L14" i="26" s="1"/>
  <c r="H15" i="26"/>
  <c r="H16" i="26"/>
  <c r="H17" i="26"/>
  <c r="I17" i="26" s="1"/>
  <c r="H10" i="26"/>
  <c r="L10" i="26" s="1"/>
  <c r="H3" i="26"/>
  <c r="I3" i="26" s="1"/>
  <c r="H4" i="26"/>
  <c r="L4" i="26" s="1"/>
  <c r="H5" i="26"/>
  <c r="L5" i="26" s="1"/>
  <c r="H6" i="26"/>
  <c r="J6" i="26" s="1"/>
  <c r="K6" i="26" s="1"/>
  <c r="H7" i="26"/>
  <c r="L7" i="26" s="1"/>
  <c r="H8" i="26"/>
  <c r="L8" i="26" s="1"/>
  <c r="H9" i="26"/>
  <c r="L9" i="26" s="1"/>
  <c r="B17" i="6"/>
  <c r="O17" i="6" s="1"/>
  <c r="B16" i="6"/>
  <c r="J16" i="6" s="1"/>
  <c r="B15" i="6"/>
  <c r="E13" i="23" s="1"/>
  <c r="B14" i="6"/>
  <c r="E12" i="23" s="1"/>
  <c r="B13" i="6"/>
  <c r="B12" i="6"/>
  <c r="B11" i="6"/>
  <c r="B10" i="6"/>
  <c r="K12" i="6"/>
  <c r="K13" i="6"/>
  <c r="A14" i="22"/>
  <c r="A27" i="22" s="1"/>
  <c r="A13" i="22"/>
  <c r="B21" i="24" s="1"/>
  <c r="A12" i="22"/>
  <c r="A25" i="22" s="1"/>
  <c r="A23" i="23"/>
  <c r="B23" i="23" s="1"/>
  <c r="A11" i="22"/>
  <c r="A24" i="22" s="1"/>
  <c r="A10" i="22"/>
  <c r="A10" i="7" s="1"/>
  <c r="A24" i="7" s="1"/>
  <c r="A9" i="22"/>
  <c r="A20" i="23" s="1"/>
  <c r="A8" i="22"/>
  <c r="A21" i="22" s="1"/>
  <c r="L6" i="3"/>
  <c r="M6" i="3"/>
  <c r="N6" i="3"/>
  <c r="O6" i="3"/>
  <c r="P6" i="3"/>
  <c r="Q6" i="3"/>
  <c r="K6" i="3"/>
  <c r="B33" i="3"/>
  <c r="P45" i="23"/>
  <c r="F38" i="6"/>
  <c r="F40" i="6"/>
  <c r="F42" i="6"/>
  <c r="F45" i="6"/>
  <c r="B9" i="13"/>
  <c r="B10" i="13"/>
  <c r="B11" i="13"/>
  <c r="B12" i="13"/>
  <c r="B13" i="13"/>
  <c r="B14" i="13"/>
  <c r="B15" i="13"/>
  <c r="B16" i="13"/>
  <c r="B17" i="13"/>
  <c r="B18" i="13"/>
  <c r="B19" i="13"/>
  <c r="B20" i="13"/>
  <c r="B21" i="13"/>
  <c r="B22" i="13"/>
  <c r="B23" i="13"/>
  <c r="B24" i="13"/>
  <c r="B25" i="13"/>
  <c r="B26" i="13"/>
  <c r="B27" i="13"/>
  <c r="B28" i="13"/>
  <c r="B29" i="13"/>
  <c r="B30" i="13"/>
  <c r="B31" i="13"/>
  <c r="B8" i="13"/>
  <c r="L2" i="13"/>
  <c r="U2" i="13"/>
  <c r="C2" i="13"/>
  <c r="U1" i="13"/>
  <c r="F1" i="13"/>
  <c r="N1" i="23"/>
  <c r="D1" i="23"/>
  <c r="B2" i="23"/>
  <c r="I2" i="23"/>
  <c r="N2" i="23"/>
  <c r="N58" i="23"/>
  <c r="M58" i="23"/>
  <c r="L58" i="23"/>
  <c r="O58" i="23" s="1"/>
  <c r="N57" i="23"/>
  <c r="M57" i="23"/>
  <c r="L57" i="23"/>
  <c r="O57" i="23" s="1"/>
  <c r="N56" i="23"/>
  <c r="M56" i="23"/>
  <c r="L56" i="23"/>
  <c r="N55" i="23"/>
  <c r="M55" i="23"/>
  <c r="L55" i="23"/>
  <c r="O55" i="23" s="1"/>
  <c r="N54" i="23"/>
  <c r="L54" i="23"/>
  <c r="M54" i="23"/>
  <c r="N53" i="23"/>
  <c r="L53" i="23"/>
  <c r="M53" i="23"/>
  <c r="N52" i="23"/>
  <c r="L52" i="23"/>
  <c r="M52" i="23"/>
  <c r="N51" i="23"/>
  <c r="L51" i="23"/>
  <c r="M51" i="23"/>
  <c r="O45" i="23"/>
  <c r="N45" i="23"/>
  <c r="M45" i="23"/>
  <c r="L45" i="23"/>
  <c r="N44" i="23"/>
  <c r="M44" i="23"/>
  <c r="L44" i="23"/>
  <c r="N43" i="23"/>
  <c r="M43" i="23"/>
  <c r="L43" i="23"/>
  <c r="N42" i="23"/>
  <c r="L42" i="23"/>
  <c r="M42" i="23"/>
  <c r="O42" i="23"/>
  <c r="P42" i="23" s="1"/>
  <c r="N41" i="23"/>
  <c r="L41" i="23"/>
  <c r="M41" i="23"/>
  <c r="N40" i="23"/>
  <c r="L40" i="23"/>
  <c r="M40" i="23"/>
  <c r="O40" i="23"/>
  <c r="P40" i="23" s="1"/>
  <c r="N39" i="23"/>
  <c r="L39" i="23"/>
  <c r="M39" i="23"/>
  <c r="N37" i="23"/>
  <c r="L37" i="23"/>
  <c r="M37" i="23"/>
  <c r="N35" i="23"/>
  <c r="L35" i="23"/>
  <c r="M35" i="23"/>
  <c r="N34" i="23"/>
  <c r="L34" i="23"/>
  <c r="M34" i="23"/>
  <c r="AC27" i="23"/>
  <c r="AB27" i="23"/>
  <c r="AA27" i="23"/>
  <c r="Z27" i="23"/>
  <c r="Y27" i="23"/>
  <c r="X27" i="23"/>
  <c r="W27" i="23"/>
  <c r="V27" i="23"/>
  <c r="C1" i="18"/>
  <c r="G2" i="18"/>
  <c r="E2" i="18"/>
  <c r="B2" i="18"/>
  <c r="G1" i="18"/>
  <c r="O2" i="3"/>
  <c r="J2" i="3"/>
  <c r="C2" i="3"/>
  <c r="P1" i="3"/>
  <c r="C1" i="3"/>
  <c r="B1" i="22"/>
  <c r="B2" i="22"/>
  <c r="H1" i="22"/>
  <c r="H2" i="22"/>
  <c r="F2" i="22"/>
  <c r="J2" i="24"/>
  <c r="J1" i="24"/>
  <c r="H2" i="24"/>
  <c r="E2" i="24"/>
  <c r="E1" i="24"/>
  <c r="B2" i="25"/>
  <c r="D2" i="25"/>
  <c r="F2" i="25"/>
  <c r="F1" i="25"/>
  <c r="B1" i="25"/>
  <c r="C1" i="21"/>
  <c r="B2" i="21"/>
  <c r="G2" i="21"/>
  <c r="K2" i="21"/>
  <c r="K1" i="21"/>
  <c r="K14" i="6"/>
  <c r="K15" i="6"/>
  <c r="K16" i="6"/>
  <c r="K17" i="6"/>
  <c r="K10" i="6"/>
  <c r="J2" i="6"/>
  <c r="G2" i="6"/>
  <c r="B2" i="6"/>
  <c r="J1" i="6"/>
  <c r="C1" i="6"/>
  <c r="J2" i="17"/>
  <c r="G2" i="17"/>
  <c r="B2" i="17"/>
  <c r="J1" i="17"/>
  <c r="C1" i="17"/>
  <c r="N1" i="7"/>
  <c r="AD1" i="7"/>
  <c r="AC2" i="7"/>
  <c r="W2" i="7"/>
  <c r="M2" i="7"/>
  <c r="B2" i="7"/>
  <c r="I2" i="7"/>
  <c r="F2" i="7"/>
  <c r="I1" i="7"/>
  <c r="C1" i="7"/>
  <c r="I5" i="26"/>
  <c r="I4" i="26"/>
  <c r="I14" i="26"/>
  <c r="O44" i="23"/>
  <c r="P44" i="23"/>
  <c r="O43" i="23"/>
  <c r="P43" i="23"/>
  <c r="B11" i="21"/>
  <c r="A12" i="7"/>
  <c r="A26" i="7" s="1"/>
  <c r="B20" i="24"/>
  <c r="M11" i="21"/>
  <c r="B22" i="24"/>
  <c r="A14" i="7"/>
  <c r="A28" i="7" s="1"/>
  <c r="A25" i="23"/>
  <c r="N25" i="23" s="1"/>
  <c r="O25" i="23" s="1"/>
  <c r="A33" i="21"/>
  <c r="O39" i="23" l="1"/>
  <c r="O41" i="23"/>
  <c r="P41" i="23" s="1"/>
  <c r="P58" i="23"/>
  <c r="J16" i="26"/>
  <c r="K16" i="26" s="1"/>
  <c r="J15" i="26"/>
  <c r="K15" i="26" s="1"/>
  <c r="P57" i="23"/>
  <c r="P55" i="23"/>
  <c r="O56" i="23"/>
  <c r="P56" i="23"/>
  <c r="J17" i="26"/>
  <c r="K17" i="26" s="1"/>
  <c r="J11" i="26"/>
  <c r="K11" i="26" s="1"/>
  <c r="L16" i="26"/>
  <c r="I15" i="26"/>
  <c r="J4" i="26"/>
  <c r="K4" i="26" s="1"/>
  <c r="L17" i="26"/>
  <c r="L15" i="26"/>
  <c r="I16" i="26"/>
  <c r="B25" i="23"/>
  <c r="G25" i="23"/>
  <c r="B13" i="21"/>
  <c r="A41" i="21" s="1"/>
  <c r="I2" i="26"/>
  <c r="L6" i="26"/>
  <c r="M13" i="21"/>
  <c r="I6" i="26"/>
  <c r="L2" i="26"/>
  <c r="O54" i="23"/>
  <c r="P54" i="23" s="1"/>
  <c r="O35" i="23"/>
  <c r="P35" i="23" s="1"/>
  <c r="O34" i="23"/>
  <c r="P34" i="23" s="1"/>
  <c r="O53" i="23"/>
  <c r="P53" i="23" s="1"/>
  <c r="O51" i="23"/>
  <c r="P51" i="23" s="1"/>
  <c r="P39" i="23"/>
  <c r="J5" i="26"/>
  <c r="K5" i="26" s="1"/>
  <c r="O52" i="23"/>
  <c r="P52" i="23" s="1"/>
  <c r="A11" i="7"/>
  <c r="A25" i="7" s="1"/>
  <c r="J12" i="26"/>
  <c r="K12" i="26" s="1"/>
  <c r="I12" i="26"/>
  <c r="O37" i="23"/>
  <c r="P37" i="23" s="1"/>
  <c r="J9" i="26"/>
  <c r="K9" i="26" s="1"/>
  <c r="C14" i="6"/>
  <c r="E9" i="23"/>
  <c r="H15" i="6"/>
  <c r="I9" i="26"/>
  <c r="A30" i="6"/>
  <c r="C13" i="6"/>
  <c r="I8" i="26"/>
  <c r="J8" i="26"/>
  <c r="K8" i="26" s="1"/>
  <c r="I17" i="6"/>
  <c r="I15" i="6"/>
  <c r="C11" i="6"/>
  <c r="C12" i="6"/>
  <c r="J15" i="6"/>
  <c r="C15" i="6"/>
  <c r="F15" i="6"/>
  <c r="C17" i="6"/>
  <c r="E15" i="23"/>
  <c r="E11" i="23"/>
  <c r="H17" i="6"/>
  <c r="F17" i="6"/>
  <c r="J17" i="6"/>
  <c r="A24" i="23"/>
  <c r="N24" i="23" s="1"/>
  <c r="A13" i="7"/>
  <c r="A27" i="7" s="1"/>
  <c r="A26" i="22"/>
  <c r="B12" i="21"/>
  <c r="A37" i="21" s="1"/>
  <c r="B17" i="24"/>
  <c r="B8" i="21"/>
  <c r="A21" i="21" s="1"/>
  <c r="A22" i="22"/>
  <c r="A9" i="7"/>
  <c r="A23" i="7" s="1"/>
  <c r="K12" i="23"/>
  <c r="J12" i="23"/>
  <c r="L12" i="23"/>
  <c r="B20" i="23"/>
  <c r="G20" i="23"/>
  <c r="N20" i="23"/>
  <c r="K13" i="23"/>
  <c r="L13" i="23"/>
  <c r="J13" i="23"/>
  <c r="A21" i="23"/>
  <c r="N23" i="23"/>
  <c r="O23" i="23" s="1"/>
  <c r="C16" i="6"/>
  <c r="H14" i="6"/>
  <c r="L12" i="21"/>
  <c r="I7" i="26"/>
  <c r="B16" i="24"/>
  <c r="B7" i="21"/>
  <c r="A17" i="21" s="1"/>
  <c r="A19" i="23"/>
  <c r="J10" i="26"/>
  <c r="K10" i="26" s="1"/>
  <c r="J13" i="26"/>
  <c r="K13" i="26" s="1"/>
  <c r="E13" i="21"/>
  <c r="H16" i="6"/>
  <c r="D14" i="6"/>
  <c r="G23" i="23"/>
  <c r="J14" i="6"/>
  <c r="E10" i="23"/>
  <c r="E14" i="23"/>
  <c r="I16" i="6"/>
  <c r="C10" i="6"/>
  <c r="I10" i="26"/>
  <c r="I11" i="26"/>
  <c r="A23" i="22"/>
  <c r="B19" i="24"/>
  <c r="B10" i="21"/>
  <c r="A29" i="21" s="1"/>
  <c r="E8" i="23"/>
  <c r="J8" i="23" s="1"/>
  <c r="F14" i="6"/>
  <c r="F16" i="6"/>
  <c r="A8" i="7"/>
  <c r="A22" i="7" s="1"/>
  <c r="A22" i="23"/>
  <c r="J7" i="26"/>
  <c r="K7" i="26" s="1"/>
  <c r="J3" i="26"/>
  <c r="K3" i="26" s="1"/>
  <c r="J14" i="26"/>
  <c r="K14" i="26" s="1"/>
  <c r="L13" i="26"/>
  <c r="L3" i="26"/>
  <c r="M12" i="21"/>
  <c r="H11" i="21"/>
  <c r="B18" i="24"/>
  <c r="B9" i="21"/>
  <c r="A25" i="21" s="1"/>
  <c r="H12" i="21"/>
  <c r="I14" i="6"/>
  <c r="L13" i="21"/>
  <c r="F31" i="6" l="1"/>
  <c r="F30" i="6"/>
  <c r="H10" i="6"/>
  <c r="F13" i="6"/>
  <c r="F11" i="6"/>
  <c r="D12" i="6"/>
  <c r="F12" i="6"/>
  <c r="D13" i="6"/>
  <c r="O20" i="23"/>
  <c r="K8" i="21"/>
  <c r="D17" i="6"/>
  <c r="D16" i="6"/>
  <c r="J9" i="23"/>
  <c r="H11" i="6" s="1"/>
  <c r="F10" i="6"/>
  <c r="D11" i="6"/>
  <c r="D10" i="6"/>
  <c r="B24" i="23"/>
  <c r="L15" i="23"/>
  <c r="J15" i="23"/>
  <c r="K15" i="23"/>
  <c r="J11" i="23"/>
  <c r="H13" i="6" s="1"/>
  <c r="O24" i="23"/>
  <c r="G24" i="23"/>
  <c r="G22" i="23"/>
  <c r="B22" i="23"/>
  <c r="N22" i="23"/>
  <c r="J10" i="23"/>
  <c r="H12" i="6" s="1"/>
  <c r="D15" i="6"/>
  <c r="N21" i="23"/>
  <c r="G21" i="23"/>
  <c r="B21" i="23"/>
  <c r="L14" i="23"/>
  <c r="K14" i="23"/>
  <c r="J14" i="23"/>
  <c r="G19" i="23"/>
  <c r="N19" i="23"/>
  <c r="B19" i="23"/>
  <c r="O22" i="23" l="1"/>
  <c r="K10" i="21"/>
  <c r="O19" i="23"/>
  <c r="K7" i="21"/>
  <c r="L8" i="21"/>
  <c r="M8" i="21"/>
  <c r="O21" i="23"/>
  <c r="K9" i="21"/>
  <c r="M17" i="18"/>
  <c r="L8" i="23" l="1"/>
  <c r="J10" i="6" s="1"/>
  <c r="L9" i="23"/>
  <c r="J11" i="6" s="1"/>
  <c r="L10" i="23"/>
  <c r="L11" i="23"/>
  <c r="L10" i="21"/>
  <c r="M10" i="21"/>
  <c r="L7" i="21"/>
  <c r="M7" i="21"/>
  <c r="L9" i="21"/>
  <c r="M9" i="21"/>
  <c r="K8" i="23" l="1"/>
  <c r="I10" i="6" s="1"/>
  <c r="K9" i="23"/>
  <c r="I11" i="6" s="1"/>
  <c r="J12" i="6"/>
  <c r="K10" i="23"/>
  <c r="I12" i="6" s="1"/>
  <c r="J13" i="6"/>
  <c r="K11" i="23"/>
  <c r="I13" i="6" s="1"/>
</calcChain>
</file>

<file path=xl/sharedStrings.xml><?xml version="1.0" encoding="utf-8"?>
<sst xmlns="http://schemas.openxmlformats.org/spreadsheetml/2006/main" count="907" uniqueCount="467">
  <si>
    <t>HAMILTON CITY COUNCIL</t>
  </si>
  <si>
    <t>Controller Information Sheet (C.I.S.)</t>
  </si>
  <si>
    <t>Intersection:</t>
  </si>
  <si>
    <t>Naylor / Galloway</t>
  </si>
  <si>
    <t>Site ID:</t>
  </si>
  <si>
    <t>Date:</t>
  </si>
  <si>
    <t>Version:</t>
  </si>
  <si>
    <t>3d</t>
  </si>
  <si>
    <t>By:</t>
  </si>
  <si>
    <t>R Thomson</t>
  </si>
  <si>
    <t>SFT</t>
  </si>
  <si>
    <t xml:space="preserve">generated by </t>
  </si>
  <si>
    <t>Code:</t>
  </si>
  <si>
    <t>XLOSM</t>
  </si>
  <si>
    <t>Warning</t>
  </si>
  <si>
    <t>This PROM requires hardware changes</t>
  </si>
  <si>
    <t>YES</t>
  </si>
  <si>
    <t>to the intersection before installation.</t>
  </si>
  <si>
    <t>Do Not install this PROM until the following</t>
  </si>
  <si>
    <t>hardware changes have been completed</t>
  </si>
  <si>
    <t>This PROM requires SCATS data changes</t>
  </si>
  <si>
    <t xml:space="preserve">Controller Type   </t>
  </si>
  <si>
    <t>ECLIPSE</t>
  </si>
  <si>
    <t xml:space="preserve">VC  </t>
  </si>
  <si>
    <t>Lamp Dimming to be  used</t>
  </si>
  <si>
    <t>Lamp Types installed (LED or MIXED)</t>
  </si>
  <si>
    <t>LED</t>
  </si>
  <si>
    <t>Dimming Level =</t>
  </si>
  <si>
    <t>Filtering on MAIN RD</t>
  </si>
  <si>
    <t>N/A</t>
  </si>
  <si>
    <t>Filtering on SIDE RD</t>
  </si>
  <si>
    <t>Intersection Upgrade. Right turn from Galloway south approach into Naylor east control added (SG7) and D phase added. LTRA and RTRA pedestrian protection added.</t>
  </si>
  <si>
    <t>Signal groups reconfigured.Opposing LT SG on north approach output changed from SG6 to SG12. Will need rewiring on site.</t>
  </si>
  <si>
    <t>SCATS graphics and data needs updating</t>
  </si>
  <si>
    <t>Det's 9,10, 11 and 12 not installed on site. Det Cat set to 1 to stop alarming.</t>
  </si>
  <si>
    <t>SCATS DATA CONFIGURATION NOTES</t>
  </si>
  <si>
    <t>V3 has full red arrow protection for ped P2.
V3 has minimum off after ped clearance (subject to Z5),
   using C phase min. green time.
Z5 facility required in C phase under masterlink.
Late start required in C phase for V3.</t>
  </si>
  <si>
    <t>V7 has full red arrow protection for ped P3.
V7 has minimum off after ped clearance (subject to Z5),
   using A phase min. green time.
Z5 facility required in A phase under masterlink.
Late start required in A phase for V7.</t>
  </si>
  <si>
    <t>V's 4 and 8 have FULL protection for P4 and P1 respectively.
The phase may not terminate until the SG's have been OFF for the minimum phase time
Adjust the SCATS ped data to prevent LC alarms.
   i.e. - W1T = P1 (CL1 + CL2) + BC phase (min. green + intergreen times).</t>
  </si>
  <si>
    <t>V's 10 and 11 have timed red arrow protection for ped P2 and P4 walk
   and clearance. Red arrow time at SPT12 and SPT14
Phase cannot terminate until V's has displayed off
   for the phase minimum green time.
Adjust the SCATS W2T data to prevent LC alarms.
   i.e. - W2T = P2 (CL1 + CL2) + C phase (min. green + intergreen times).</t>
  </si>
  <si>
    <t xml:space="preserve">V9 has timed red arrow protection for ped P1 walk
   and clearance. Red arrow time at SPT11.
Late start required in D phase for V9.
BC phase cannot terminate until V9 has displayed off
   for C phase minimum green time.
Adjust the SCATS W1T data to prevent LC alarms.
   W1T = P1 (CL1 + CL2) + BC phase (min. green + intergreen times).
</t>
  </si>
  <si>
    <t xml:space="preserve">By: </t>
  </si>
  <si>
    <t>SIGNAL GROUP DEFINITIONS - Active phases</t>
  </si>
  <si>
    <t>Phase Group</t>
  </si>
  <si>
    <t>A</t>
  </si>
  <si>
    <t>B</t>
  </si>
  <si>
    <t>D</t>
  </si>
  <si>
    <t>E</t>
  </si>
  <si>
    <t>G</t>
  </si>
  <si>
    <t>Table</t>
  </si>
  <si>
    <t>C</t>
  </si>
  <si>
    <t>P4(13)</t>
  </si>
  <si>
    <t>W</t>
  </si>
  <si>
    <t>PD22M</t>
  </si>
  <si>
    <t>P3(14)</t>
  </si>
  <si>
    <t>PD2</t>
  </si>
  <si>
    <t>62M</t>
  </si>
  <si>
    <t>P2(15)</t>
  </si>
  <si>
    <t>PD1</t>
  </si>
  <si>
    <t>P1(16)</t>
  </si>
  <si>
    <t>PD23M</t>
  </si>
  <si>
    <t>Signal Group Modifications</t>
  </si>
  <si>
    <t>SG</t>
  </si>
  <si>
    <t>Description</t>
  </si>
  <si>
    <t>Modify to allow filtering when Z+ flag set in Flexi or Masterlink.</t>
  </si>
  <si>
    <t>Modify table to allow ped to run in Lag RT phase if the RT phase runs following the main through phase that has the opposing uncontrolled filter movement (i.e. in B if from C)</t>
  </si>
  <si>
    <t>Modify table to allow ped to run in Lag RT phase if the RT phase runs following the main through phase that has the opposing uncontrolled filter movement (i.e. in D if from A)</t>
  </si>
  <si>
    <t>PHASE INFORMATION</t>
  </si>
  <si>
    <t xml:space="preserve">Start Phase : </t>
  </si>
  <si>
    <t>Phase Sequence:</t>
  </si>
  <si>
    <t>ABCD</t>
  </si>
  <si>
    <t xml:space="preserve">Alternative Sequence: </t>
  </si>
  <si>
    <t>CDAB</t>
  </si>
  <si>
    <t>Note: Throughout the Document</t>
  </si>
  <si>
    <t>Calculated results cell</t>
  </si>
  <si>
    <t>Fill in these cells where appropriate</t>
  </si>
  <si>
    <t>PROHIBITS AND MAXIMUM TRANSFERS</t>
  </si>
  <si>
    <t xml:space="preserve"> From Phase</t>
  </si>
  <si>
    <t>Prohibit to</t>
  </si>
  <si>
    <t>Transfer Max to</t>
  </si>
  <si>
    <t>Steal Max from</t>
  </si>
  <si>
    <t>MAXIMUM CONTROL AND REVERSION</t>
  </si>
  <si>
    <t>Phase</t>
  </si>
  <si>
    <t xml:space="preserve">Software Arterial </t>
  </si>
  <si>
    <t>Reversion / Startup Reversion</t>
  </si>
  <si>
    <t>Use Max VIG on Reversion</t>
  </si>
  <si>
    <t/>
  </si>
  <si>
    <r>
      <t>Reversion:</t>
    </r>
    <r>
      <rPr>
        <sz val="10"/>
        <rFont val="Arial"/>
        <family val="2"/>
      </rPr>
      <t xml:space="preserve"> Occurs where maximum green is reached and passage loops only are used.</t>
    </r>
  </si>
  <si>
    <t>Running phase will then recall and run again preventing possibility of trapped vehicles.</t>
  </si>
  <si>
    <t>Reversion is automatic for advance passage detectors (eg when Table 3 is specified)</t>
  </si>
  <si>
    <r>
      <t>Max VIG on reversion</t>
    </r>
    <r>
      <rPr>
        <sz val="10"/>
        <rFont val="Arial"/>
        <family val="2"/>
      </rPr>
      <t xml:space="preserve"> should also be considered when advanced passage detectors</t>
    </r>
  </si>
  <si>
    <t>are used</t>
  </si>
  <si>
    <r>
      <t>Startup Reversion:</t>
    </r>
    <r>
      <rPr>
        <sz val="10"/>
        <rFont val="Arial"/>
        <family val="2"/>
      </rPr>
      <t xml:space="preserve"> Places an automatic demand for the nominated phase at start-up. </t>
    </r>
  </si>
  <si>
    <t>DETECTORS</t>
  </si>
  <si>
    <t>Controller Inputs :</t>
  </si>
  <si>
    <t xml:space="preserve"> VIG DETECTORS</t>
  </si>
  <si>
    <t>Det No.</t>
  </si>
  <si>
    <t>Approach SG</t>
  </si>
  <si>
    <t>CALLING DETECTORS</t>
  </si>
  <si>
    <t>Red Light Running Data</t>
  </si>
  <si>
    <t>Ped No.</t>
  </si>
  <si>
    <t>Locking</t>
  </si>
  <si>
    <t>Nonlocking</t>
  </si>
  <si>
    <t>Signal</t>
  </si>
  <si>
    <t>Virtual</t>
  </si>
  <si>
    <t>Actual</t>
  </si>
  <si>
    <t>P3(22),P4(21)</t>
  </si>
  <si>
    <t>1,2,5,6</t>
  </si>
  <si>
    <t>Group</t>
  </si>
  <si>
    <t>Detector</t>
  </si>
  <si>
    <t>Detectors</t>
  </si>
  <si>
    <t>P1(24),P2(23)</t>
  </si>
  <si>
    <t>3,4,7,8</t>
  </si>
  <si>
    <t>Counting Detectors</t>
  </si>
  <si>
    <t>DETECTOR ALARM CATEGORIES</t>
  </si>
  <si>
    <t>Det</t>
  </si>
  <si>
    <t>No of Detectors</t>
  </si>
  <si>
    <t>Cat</t>
  </si>
  <si>
    <t xml:space="preserve"> </t>
  </si>
  <si>
    <t>Push Button</t>
  </si>
  <si>
    <t>No of Peds</t>
  </si>
  <si>
    <t>Detector Types</t>
  </si>
  <si>
    <t xml:space="preserve"> Detectors with alarms disabled</t>
  </si>
  <si>
    <t xml:space="preserve"> Detectors with alarms ignored</t>
  </si>
  <si>
    <t>PRESENCE DETECTOR DELAYS</t>
  </si>
  <si>
    <t>Call Phase</t>
  </si>
  <si>
    <t>Delay Time</t>
  </si>
  <si>
    <t>Site Description:</t>
  </si>
  <si>
    <t>Site No:</t>
  </si>
  <si>
    <t>Last Updated:</t>
  </si>
  <si>
    <t>Description of Detector Alarm Categories</t>
  </si>
  <si>
    <r>
      <t>NOTE</t>
    </r>
    <r>
      <rPr>
        <sz val="10"/>
        <rFont val="Arial"/>
        <family val="2"/>
      </rPr>
      <t>: Category 0 = SCATS default alarming.  Category 1 = Never Alarm</t>
    </r>
  </si>
  <si>
    <t>CAT 2 - Busy Main Road Detector</t>
  </si>
  <si>
    <t>CAT 3 - Main Road Detector</t>
  </si>
  <si>
    <t>Normal Profile</t>
  </si>
  <si>
    <t>Alternate Profile (Sun)</t>
  </si>
  <si>
    <t>Alternate Profile (Sun and Sat)</t>
  </si>
  <si>
    <t xml:space="preserve">Zone A at 6:00 rate 30 mins </t>
  </si>
  <si>
    <t>Zone A at 9:00 rate 60 mins</t>
  </si>
  <si>
    <t xml:space="preserve">Zone A at 7:00 rate 30 mins </t>
  </si>
  <si>
    <t xml:space="preserve">Zone B at 7:00 rate 10 mins </t>
  </si>
  <si>
    <t>Zone B at 18:00 but skipped</t>
  </si>
  <si>
    <t xml:space="preserve">Zone B at 7:30 rate 10 mins </t>
  </si>
  <si>
    <t xml:space="preserve">Zone C at 9:00 rate 30 mins </t>
  </si>
  <si>
    <t>Zone C at 18:00 but skipped</t>
  </si>
  <si>
    <t>Zone D at 15:00 rate 10 mins</t>
  </si>
  <si>
    <t>Zone D at 18:00 but skipped</t>
  </si>
  <si>
    <t>Zone E at 18:00 rate 60 mins</t>
  </si>
  <si>
    <t>Zone E at 18:00 but skipped</t>
  </si>
  <si>
    <t xml:space="preserve">Zone F at 22:00 no checking </t>
  </si>
  <si>
    <t>Zone F at 18:00 no checking</t>
  </si>
  <si>
    <t>CAT 4 - Busy Minor Road Detector</t>
  </si>
  <si>
    <t>CAT 5 - Minor Road Detector</t>
  </si>
  <si>
    <t xml:space="preserve">Zone B at 7:30 rate 20 mins </t>
  </si>
  <si>
    <t xml:space="preserve">Zone B at 9:00 rate 60 mins </t>
  </si>
  <si>
    <t>Zone C at 15:00 rate 30 mins</t>
  </si>
  <si>
    <t>Zone D at 15:00 rate 20 mins</t>
  </si>
  <si>
    <t>Zone D at 18:00 rate 60 mins</t>
  </si>
  <si>
    <t xml:space="preserve">Zone E at 20:00 no checking </t>
  </si>
  <si>
    <t xml:space="preserve">Zone F at 20:00 no checking </t>
  </si>
  <si>
    <t>CAT 6 - Non-Morning Detector</t>
  </si>
  <si>
    <t>CAT 7 - Non-Evening Detector</t>
  </si>
  <si>
    <t xml:space="preserve">Zone A at 9:00 rate 30 mins </t>
  </si>
  <si>
    <t>Zone B at 15:00 rate 10 mins</t>
  </si>
  <si>
    <t>Zone C at 18:00 rate 60 mins</t>
  </si>
  <si>
    <t xml:space="preserve">Zone D at 22:00 but skipped </t>
  </si>
  <si>
    <t xml:space="preserve">Zone E at 22:00 but skipped </t>
  </si>
  <si>
    <t xml:space="preserve">CAT 8 - Cycle Detector on Cycleway  </t>
  </si>
  <si>
    <t>CAT 9 - Cycle Detector Predominantly for Schools</t>
  </si>
  <si>
    <t>Zone A at 00:00 but skipped</t>
  </si>
  <si>
    <t xml:space="preserve">Zone A at 8:00 rate 20 mins </t>
  </si>
  <si>
    <t>Zone B at 00:00 but skipped</t>
  </si>
  <si>
    <t>Zone B at 9:00 rate 360 mins</t>
  </si>
  <si>
    <t>Zone C at 9:00 rate 120 mins</t>
  </si>
  <si>
    <t>Zone C at 00:00 but skipped</t>
  </si>
  <si>
    <t>Zone C at 15:00 rate 10 mins</t>
  </si>
  <si>
    <t>Zone D at 00:00 but skipped</t>
  </si>
  <si>
    <t xml:space="preserve">Zone D at 15:30 but skipped </t>
  </si>
  <si>
    <t xml:space="preserve">Zone E at 18:00 but skipped </t>
  </si>
  <si>
    <t>Zone E at 00:00 but skipped</t>
  </si>
  <si>
    <t xml:space="preserve">Zone E at 15:30 but skipped </t>
  </si>
  <si>
    <t>Zone F at 00:00 but skipped</t>
  </si>
  <si>
    <t xml:space="preserve">Zone F at 15:30 no checking </t>
  </si>
  <si>
    <t>CAT 10 - Ped Detector in the CBD</t>
  </si>
  <si>
    <t>CAT 11 - Ped Detector in Lightly used Area</t>
  </si>
  <si>
    <t>Alternate Profile (Sun and  Sat)</t>
  </si>
  <si>
    <t xml:space="preserve">Zone A at 9:00 rate 60 mins </t>
  </si>
  <si>
    <t>Zone A at 9:00 rate 120 mins</t>
  </si>
  <si>
    <t xml:space="preserve">Zone B at 18:00 but skipped </t>
  </si>
  <si>
    <t xml:space="preserve">Zone C at 18:00 but skipped </t>
  </si>
  <si>
    <t xml:space="preserve">Zone D at 18:00 but skipped </t>
  </si>
  <si>
    <t xml:space="preserve">Zone F at 18:00 no checking </t>
  </si>
  <si>
    <t>Ste ID:</t>
  </si>
  <si>
    <t>TIME SETTINGS</t>
  </si>
  <si>
    <t>PHASE</t>
  </si>
  <si>
    <t>LS</t>
  </si>
  <si>
    <t>LS SG</t>
  </si>
  <si>
    <t>MG</t>
  </si>
  <si>
    <t>IN</t>
  </si>
  <si>
    <t>MV</t>
  </si>
  <si>
    <t>MAX</t>
  </si>
  <si>
    <t>ECO</t>
  </si>
  <si>
    <t>ECO SG</t>
  </si>
  <si>
    <t>YEL</t>
  </si>
  <si>
    <t>RED</t>
  </si>
  <si>
    <t>SRED</t>
  </si>
  <si>
    <t>1,3,9,12</t>
  </si>
  <si>
    <t>5,7,9,
11</t>
  </si>
  <si>
    <t>Dets</t>
  </si>
  <si>
    <t>Appr No.</t>
  </si>
  <si>
    <t>Gap</t>
  </si>
  <si>
    <t>Hwy</t>
  </si>
  <si>
    <t>Waste</t>
  </si>
  <si>
    <t>App Timer Setting (1-4)</t>
  </si>
  <si>
    <t>6M</t>
  </si>
  <si>
    <t>1,2</t>
  </si>
  <si>
    <t>1M</t>
  </si>
  <si>
    <t>16M</t>
  </si>
  <si>
    <t>3,4</t>
  </si>
  <si>
    <t>Detector Table Modifications</t>
  </si>
  <si>
    <t xml:space="preserve">Detector </t>
  </si>
  <si>
    <t>5,11</t>
  </si>
  <si>
    <t>Don’t ignore extensions in A if D next due to RT Trap issue.</t>
  </si>
  <si>
    <t>Modify to use Z+ flag not Z- for ignoring extensions when not filtering and to act as both approach and departure loops for filter turn</t>
  </si>
  <si>
    <t>Modify table to provide time delay call</t>
  </si>
  <si>
    <t>7,12</t>
  </si>
  <si>
    <t>Don’t ignore extensions in C if B next due to RT Trap issue. Modify Det 7 to have time delayed caal for C due to LT running in D</t>
  </si>
  <si>
    <t>Modify to to act as both approach and departure loops for filter turn</t>
  </si>
  <si>
    <t>Late Start Notes</t>
  </si>
  <si>
    <t>Hold RED in A LS if from D and SG7 permitted to filter in A</t>
  </si>
  <si>
    <t>1,3,9</t>
  </si>
  <si>
    <t>Hold RED in B LS if from C</t>
  </si>
  <si>
    <t>Hold RED in B LS if from A</t>
  </si>
  <si>
    <t>Hold RED in C LS if from B and SG3 permitted to filter in C</t>
  </si>
  <si>
    <t>5,7,11</t>
  </si>
  <si>
    <t>Hold RED in D LS if from A</t>
  </si>
  <si>
    <t>Hold RED in D LS if from B/C</t>
  </si>
  <si>
    <t>PEDESTRIAN TIMES</t>
  </si>
  <si>
    <t>Ped No</t>
  </si>
  <si>
    <t>Table No</t>
  </si>
  <si>
    <t>Ped Operates in  Phases</t>
  </si>
  <si>
    <t>Callaway Phase</t>
  </si>
  <si>
    <t>SG No</t>
  </si>
  <si>
    <t>Cross</t>
  </si>
  <si>
    <t>Clear 1</t>
  </si>
  <si>
    <t>Clear 2</t>
  </si>
  <si>
    <t>Ped Protection Y/N</t>
  </si>
  <si>
    <t xml:space="preserve">Wait Extinguish : </t>
  </si>
  <si>
    <t>Y</t>
  </si>
  <si>
    <t>PEDESTRIAN PROTECTION TYPE</t>
  </si>
  <si>
    <t>Type of Protection</t>
  </si>
  <si>
    <t>Conflicting Signal Group</t>
  </si>
  <si>
    <t>Timer</t>
  </si>
  <si>
    <t>Comments</t>
  </si>
  <si>
    <t>Partial</t>
  </si>
  <si>
    <t>Full</t>
  </si>
  <si>
    <t>P2</t>
  </si>
  <si>
    <t>P3</t>
  </si>
  <si>
    <t>P4</t>
  </si>
  <si>
    <t>P5</t>
  </si>
  <si>
    <t>P6</t>
  </si>
  <si>
    <t>P7</t>
  </si>
  <si>
    <t>P8</t>
  </si>
  <si>
    <t>Delete these notes on the working copy</t>
  </si>
  <si>
    <t>Where:</t>
  </si>
  <si>
    <r>
      <t xml:space="preserve">Partial Ped Protection </t>
    </r>
    <r>
      <rPr>
        <sz val="10"/>
        <rFont val="Arial"/>
        <family val="2"/>
      </rPr>
      <t>requires a timer for the Red Arrow protection</t>
    </r>
  </si>
  <si>
    <r>
      <t>Full Ped Protection</t>
    </r>
    <r>
      <rPr>
        <sz val="10"/>
        <rFont val="Arial"/>
        <family val="2"/>
      </rPr>
      <t xml:space="preserve"> does not require a timer as the SG Table uses the Walk-Clearance + Z5 flag </t>
    </r>
  </si>
  <si>
    <t xml:space="preserve">to hold the Red Arrow and introduces the Green at end of the Red Arrow SG at the end of Ped </t>
  </si>
  <si>
    <t>subject to the Z5 flag.</t>
  </si>
  <si>
    <r>
      <t xml:space="preserve">If a Ped does not require </t>
    </r>
    <r>
      <rPr>
        <b/>
        <sz val="10"/>
        <rFont val="Arial"/>
        <family val="2"/>
      </rPr>
      <t>ANY</t>
    </r>
    <r>
      <rPr>
        <sz val="10"/>
        <rFont val="Arial"/>
        <family val="2"/>
      </rPr>
      <t xml:space="preserve"> protection, then answer </t>
    </r>
    <r>
      <rPr>
        <b/>
        <sz val="10"/>
        <rFont val="Arial"/>
        <family val="2"/>
      </rPr>
      <t>N</t>
    </r>
    <r>
      <rPr>
        <sz val="10"/>
        <rFont val="Arial"/>
        <family val="2"/>
      </rPr>
      <t xml:space="preserve"> to both and put note in comment field</t>
    </r>
  </si>
  <si>
    <r>
      <t>eg. "</t>
    </r>
    <r>
      <rPr>
        <b/>
        <sz val="10"/>
        <rFont val="Arial"/>
        <family val="2"/>
      </rPr>
      <t>None required</t>
    </r>
    <r>
      <rPr>
        <sz val="10"/>
        <rFont val="Arial"/>
        <family val="2"/>
      </rPr>
      <t>."</t>
    </r>
  </si>
  <si>
    <t>SPECIAL PURPOSE TIMERS</t>
  </si>
  <si>
    <t>Function</t>
  </si>
  <si>
    <t>Value</t>
  </si>
  <si>
    <t>P1 protection SG9</t>
  </si>
  <si>
    <t>P2 protection SG10</t>
  </si>
  <si>
    <t>All-Red on start up</t>
  </si>
  <si>
    <t>P3 protection SG12</t>
  </si>
  <si>
    <t>P4 protection SG11</t>
  </si>
  <si>
    <t>Audio times set for audio tactile</t>
  </si>
  <si>
    <t>TSH=06  TSM=55 (start 06:55hrs)</t>
  </si>
  <si>
    <t>TFH=20  TFM=45 (finish 20:45hrs)</t>
  </si>
  <si>
    <t>Lamp Dimming Schedule</t>
  </si>
  <si>
    <t>Lamp Dimming Voltage Settings</t>
  </si>
  <si>
    <t>Dimming Times</t>
  </si>
  <si>
    <t>Summer Dawn</t>
  </si>
  <si>
    <t>Normal</t>
  </si>
  <si>
    <t>230v</t>
  </si>
  <si>
    <t>Winter Sunrise</t>
  </si>
  <si>
    <t>Level 1</t>
  </si>
  <si>
    <t>Winter Sunset</t>
  </si>
  <si>
    <t>Level 2</t>
  </si>
  <si>
    <t>184v</t>
  </si>
  <si>
    <t>Summer Dusk</t>
  </si>
  <si>
    <t>Dimming Level</t>
  </si>
  <si>
    <t>Set DIM command in SFT</t>
  </si>
  <si>
    <t>MODES</t>
  </si>
  <si>
    <t>03D1</t>
  </si>
  <si>
    <t>CMODE</t>
  </si>
  <si>
    <t>0ABF</t>
  </si>
  <si>
    <t>XMODE</t>
  </si>
  <si>
    <t>0000</t>
  </si>
  <si>
    <t xml:space="preserve"> For Ramp Metering  XMODE = 0001</t>
  </si>
  <si>
    <t>NOTES</t>
  </si>
  <si>
    <t>4 phase Cross Road with Lead RT's (Filter/Non Filter both approaches)</t>
  </si>
  <si>
    <t>Single Diamond Overlap Non Filter with Combined Side Road phase</t>
  </si>
  <si>
    <t>Single Diamond Overlap Filter/Non Filter with Combined Side Road phase</t>
  </si>
  <si>
    <t>Single Diamond Overlap Non Filter with Split Side Road phase</t>
  </si>
  <si>
    <t>Single Diamond Overlap Filter/Non Filter with Split Side Road phase</t>
  </si>
  <si>
    <t>Double Diamond Overlap Non Filter with Combined Side Road phase</t>
  </si>
  <si>
    <t>Double Diamond Overlap Filter/Non Filter with Combined Side Road phase</t>
  </si>
  <si>
    <t>Double Diamond Overlap Non Filter with Split Side Road phase</t>
  </si>
  <si>
    <t>Double Diamond Overlap Filter/Non Filter with Split Side Road phase</t>
  </si>
  <si>
    <t>SPECIAL LOGIC NOTES</t>
  </si>
  <si>
    <t>FLEXI LINK DATA - Sequence 1</t>
  </si>
  <si>
    <t>Flexilink Plan Data</t>
  </si>
  <si>
    <t>Pulse Step</t>
  </si>
  <si>
    <t>Look Ahead To</t>
  </si>
  <si>
    <t>Release</t>
  </si>
  <si>
    <t>Plan</t>
  </si>
  <si>
    <t>CL</t>
  </si>
  <si>
    <t>F</t>
  </si>
  <si>
    <t>R-</t>
  </si>
  <si>
    <t>R+</t>
  </si>
  <si>
    <t>Y-</t>
  </si>
  <si>
    <t>Y+</t>
  </si>
  <si>
    <t>Z-</t>
  </si>
  <si>
    <t>Z+</t>
  </si>
  <si>
    <t>Q-</t>
  </si>
  <si>
    <t>Q+</t>
  </si>
  <si>
    <t>XSF</t>
  </si>
  <si>
    <t>(R-, R+, Q-, Q+)</t>
  </si>
  <si>
    <t>PIVOT</t>
  </si>
  <si>
    <t>CDA</t>
  </si>
  <si>
    <t>DA</t>
  </si>
  <si>
    <t>Note: No look ahead on Pivot Phase</t>
  </si>
  <si>
    <t>FLEXI LINK DATA - Sequence 2</t>
  </si>
  <si>
    <t>Flexilink Schedule Data</t>
  </si>
  <si>
    <t>BC</t>
  </si>
  <si>
    <t>Day</t>
  </si>
  <si>
    <t>Hour</t>
  </si>
  <si>
    <t>ABC</t>
  </si>
  <si>
    <t>Min</t>
  </si>
  <si>
    <t>MASTERLINK &amp; FLEXILINK SPECIAL FLAGS</t>
  </si>
  <si>
    <t>Flag</t>
  </si>
  <si>
    <t>Flexi</t>
  </si>
  <si>
    <t>C' (Continuous) entry or an offset value will enable Flexilink</t>
  </si>
  <si>
    <t>Master</t>
  </si>
  <si>
    <t>Auto recall for pedestrian demands</t>
  </si>
  <si>
    <t>Run alternative sequence</t>
  </si>
  <si>
    <t>Allow SG 3 to Filter in C</t>
  </si>
  <si>
    <t>Allow SG 7 to Filter in A</t>
  </si>
  <si>
    <t>XSF1</t>
  </si>
  <si>
    <t>XSF2</t>
  </si>
  <si>
    <t>Flexi,Master</t>
  </si>
  <si>
    <t>XSF3</t>
  </si>
  <si>
    <t>XSF4</t>
  </si>
  <si>
    <t>XSF5</t>
  </si>
  <si>
    <t>XSF6</t>
  </si>
  <si>
    <t>MSS1</t>
  </si>
  <si>
    <t>MSS2</t>
  </si>
  <si>
    <t>MSS3</t>
  </si>
  <si>
    <t>MSS4</t>
  </si>
  <si>
    <t>MSS5</t>
  </si>
  <si>
    <t>MSS6</t>
  </si>
  <si>
    <t>Page 1 of 2</t>
  </si>
  <si>
    <t>Page 2 of 2</t>
  </si>
  <si>
    <t>CONFLICT MATRIX</t>
  </si>
  <si>
    <t>MA</t>
  </si>
  <si>
    <t>MI</t>
  </si>
  <si>
    <t>P1</t>
  </si>
  <si>
    <t>X</t>
  </si>
  <si>
    <t>Checker Off</t>
  </si>
  <si>
    <t>CALCULATION OF ALL- RED PERIODS FOR TRAFFIC SIGNALS</t>
  </si>
  <si>
    <t>PEDESTRIAN TIMINGS</t>
  </si>
  <si>
    <t>Crossing Distance</t>
  </si>
  <si>
    <t>Main Grn Phase</t>
  </si>
  <si>
    <t>Other Phases</t>
  </si>
  <si>
    <t>Speed  (m/s)</t>
  </si>
  <si>
    <t>Walk       Time</t>
  </si>
  <si>
    <t>Clearance 1 Time</t>
  </si>
  <si>
    <t>Clearance 2 Time</t>
  </si>
  <si>
    <t xml:space="preserve">        Figure 1</t>
  </si>
  <si>
    <t xml:space="preserve">   Definitions</t>
  </si>
  <si>
    <t>d2</t>
  </si>
  <si>
    <t>Tt</t>
  </si>
  <si>
    <t xml:space="preserve">   Tr =       Tr1        -    Tr2      +        Tr3</t>
  </si>
  <si>
    <t xml:space="preserve">    '   = (d1 + L)/VL - (Ts + Tt) + 0.5</t>
  </si>
  <si>
    <t xml:space="preserve">   Tr = All-red time (sec)</t>
  </si>
  <si>
    <t xml:space="preserve">   d1 = Distance from stopline to the</t>
  </si>
  <si>
    <t xml:space="preserve">          conflict point for the moving vehicle (m)</t>
  </si>
  <si>
    <t xml:space="preserve">   d2 = the distance from the stopline to the </t>
  </si>
  <si>
    <t xml:space="preserve">         conflict point for the stationary vheicle (m)</t>
  </si>
  <si>
    <t>SUMMARY OF ALL RED TIMINGS</t>
  </si>
  <si>
    <t xml:space="preserve">   L = Vehicle length ( use 5.0m )</t>
  </si>
  <si>
    <t>All-Red Periods:</t>
  </si>
  <si>
    <t>Speed</t>
  </si>
  <si>
    <t>Special All-Reds:</t>
  </si>
  <si>
    <t>When Used</t>
  </si>
  <si>
    <t>Yellow Time</t>
  </si>
  <si>
    <t>SCATS Intergreen</t>
  </si>
  <si>
    <t xml:space="preserve">         vehicle through the intersection (m/s)</t>
  </si>
  <si>
    <t xml:space="preserve">   Ts = Start-up reaction time for the stationary vehicle</t>
  </si>
  <si>
    <t xml:space="preserve">        = 0.5 sec for vehicles</t>
  </si>
  <si>
    <t xml:space="preserve">        = 0.3 sec for pedestrians</t>
  </si>
  <si>
    <t xml:space="preserve">   Tt = Time for a stationary vehicle to accelerate</t>
  </si>
  <si>
    <t xml:space="preserve">         and travel distance d2 to the conflict point (sec)</t>
  </si>
  <si>
    <t>Kilometres/Hour</t>
  </si>
  <si>
    <t>All Reds</t>
  </si>
  <si>
    <t>Default = 1.0</t>
  </si>
  <si>
    <t>use whichever is the greater, 1.0 or value from cell Tr(8) Vehicle/Vehicle conflict matrix</t>
  </si>
  <si>
    <t>Metres/Sec</t>
  </si>
  <si>
    <t>Sreds</t>
  </si>
  <si>
    <t>Default = 0</t>
  </si>
  <si>
    <t>use whichever is the greater, 0 or value from cell Tr(8) Vehicle/Pedestrian conflict matrix</t>
  </si>
  <si>
    <t>VEHICLE/VEHICLE CONFLICTS</t>
  </si>
  <si>
    <t>Conflict No.</t>
  </si>
  <si>
    <t>Green Phase</t>
  </si>
  <si>
    <t>To Phase</t>
  </si>
  <si>
    <t>Conflict Description</t>
  </si>
  <si>
    <t>(1)              d1   (metres)</t>
  </si>
  <si>
    <t>(2)                d2   (metres)</t>
  </si>
  <si>
    <t>(3)                 VL           (m/s)</t>
  </si>
  <si>
    <t>(4)                   Ts                     (0.5 sec)</t>
  </si>
  <si>
    <t>(5)                     Tt                 (See Fig 1)</t>
  </si>
  <si>
    <t>(6)                 Tr1           ={(1)+5}/(3)</t>
  </si>
  <si>
    <t>(7)                  Tr2         =(4)+(5)</t>
  </si>
  <si>
    <t>(8)                    Tr                  =(6)-(7)+0.5</t>
  </si>
  <si>
    <t>Red time check Phase:</t>
  </si>
  <si>
    <t>B/C</t>
  </si>
  <si>
    <t>SG6 VS SG1</t>
  </si>
  <si>
    <t>Off</t>
  </si>
  <si>
    <t>A/D</t>
  </si>
  <si>
    <t>SG5 VS SG2</t>
  </si>
  <si>
    <t>SG6RT VS SG2RT</t>
  </si>
  <si>
    <t>SG3 VS SG2</t>
  </si>
  <si>
    <t>SG3 VS SG6RT</t>
  </si>
  <si>
    <t>SG1 VS SG5</t>
  </si>
  <si>
    <t>SG2 VS SG6</t>
  </si>
  <si>
    <t>SG2RT VS SG7</t>
  </si>
  <si>
    <t>SG7 VS SG6</t>
  </si>
  <si>
    <t>VEHICLE/PEDESTRIAN CONFLICTS</t>
  </si>
  <si>
    <t>(2)               d2   (metres)</t>
  </si>
  <si>
    <t>(3)                   VL          (m/s)</t>
  </si>
  <si>
    <t>(4)                  Ts                   (0.3 sec)</t>
  </si>
  <si>
    <t>(5)                    Tt                 =(2)/2.0</t>
  </si>
  <si>
    <t>(6)                  Tr1           =(1)/(3)</t>
  </si>
  <si>
    <t>(7)                Tr2         =(4)+(5)</t>
  </si>
  <si>
    <t>(8)                 Tr                 =(6)-(7)+0.5</t>
  </si>
  <si>
    <t>SG6 VS P1</t>
  </si>
  <si>
    <t>SG5 VS P2</t>
  </si>
  <si>
    <t>SG3 VS P2</t>
  </si>
  <si>
    <t>SG2 VS P3</t>
  </si>
  <si>
    <t>SG7 VS P3</t>
  </si>
  <si>
    <t>SG1 VS P4</t>
  </si>
  <si>
    <t>SG6RT VS P4</t>
  </si>
  <si>
    <t>SG2RT VS P1</t>
  </si>
  <si>
    <t>Controller</t>
  </si>
  <si>
    <t>calcs</t>
  </si>
  <si>
    <t>phases</t>
  </si>
  <si>
    <t>ped groups</t>
  </si>
  <si>
    <t>PG</t>
  </si>
  <si>
    <t>Aldridge</t>
  </si>
  <si>
    <t>Eclipse</t>
  </si>
  <si>
    <t>PSC</t>
  </si>
  <si>
    <t>16/32</t>
  </si>
  <si>
    <t>QTC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</si>
</sst>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
  </numFmts>
  <fonts count="57" x14ac:knownFonts="1">
    <font>
      <sz val="10"/>
      <name val="Arial"/>
    </font>
    <font>
      <sz val="10"/>
      <name val="Arial"/>
      <family val="2"/>
    </font>
    <font>
      <sz val="10"/>
      <name val="Arial"/>
      <family val="2"/>
    </font>
    <font>
      <b/>
      <sz val="10"/>
      <name val="Arial"/>
      <family val="2"/>
    </font>
    <font>
      <b/>
      <sz val="12"/>
      <name val="Arial"/>
      <family val="2"/>
    </font>
    <font>
      <sz val="12"/>
      <name val="Arial"/>
      <family val="2"/>
    </font>
    <font>
      <sz val="10"/>
      <name val="Times New Roman"/>
      <family val="1"/>
    </font>
    <font>
      <b/>
      <sz val="10"/>
      <color indexed="8"/>
      <name val="Arial"/>
      <family val="2"/>
    </font>
    <font>
      <sz val="10"/>
      <color indexed="8"/>
      <name val="Arial"/>
      <family val="2"/>
    </font>
    <font>
      <sz val="12"/>
      <color indexed="8"/>
      <name val="Arial"/>
      <family val="2"/>
    </font>
    <font>
      <sz val="14"/>
      <color indexed="8"/>
      <name val="Arial"/>
      <family val="2"/>
    </font>
    <font>
      <sz val="14"/>
      <name val="Arial"/>
      <family val="2"/>
    </font>
    <font>
      <b/>
      <u/>
      <sz val="14"/>
      <name val="Arial"/>
      <family val="2"/>
    </font>
    <font>
      <b/>
      <u/>
      <sz val="8"/>
      <name val="Arial"/>
      <family val="2"/>
    </font>
    <font>
      <b/>
      <sz val="11"/>
      <name val="Arial"/>
      <family val="2"/>
    </font>
    <font>
      <sz val="6"/>
      <color indexed="8"/>
      <name val="Arial"/>
      <family val="2"/>
    </font>
    <font>
      <sz val="6"/>
      <name val="Times New Roman"/>
      <family val="1"/>
    </font>
    <font>
      <sz val="6"/>
      <name val="Arial"/>
      <family val="2"/>
    </font>
    <font>
      <b/>
      <sz val="16"/>
      <name val="Arial"/>
      <family val="2"/>
    </font>
    <font>
      <sz val="10"/>
      <name val="MS Sans Serif"/>
      <family val="2"/>
    </font>
    <font>
      <sz val="12"/>
      <color indexed="10"/>
      <name val="Arial"/>
      <family val="2"/>
    </font>
    <font>
      <sz val="10"/>
      <name val="Arial Narrow"/>
      <family val="2"/>
    </font>
    <font>
      <sz val="11"/>
      <name val="Arial"/>
      <family val="2"/>
    </font>
    <font>
      <b/>
      <sz val="14"/>
      <name val="Arial"/>
      <family val="2"/>
    </font>
    <font>
      <b/>
      <sz val="14"/>
      <color indexed="8"/>
      <name val="Arial"/>
      <family val="2"/>
    </font>
    <font>
      <sz val="10"/>
      <color indexed="10"/>
      <name val="Arial"/>
      <family val="2"/>
    </font>
    <font>
      <b/>
      <sz val="10"/>
      <color indexed="12"/>
      <name val="Arial"/>
      <family val="2"/>
    </font>
    <font>
      <sz val="14"/>
      <name val="Times New Roman"/>
      <family val="1"/>
    </font>
    <font>
      <b/>
      <sz val="20"/>
      <color indexed="10"/>
      <name val="Arial"/>
      <family val="2"/>
    </font>
    <font>
      <i/>
      <sz val="14"/>
      <name val="Arial"/>
      <family val="2"/>
    </font>
    <font>
      <b/>
      <i/>
      <sz val="10"/>
      <name val="Arial"/>
      <family val="2"/>
    </font>
    <font>
      <i/>
      <sz val="10"/>
      <name val="Arial"/>
      <family val="2"/>
    </font>
    <font>
      <sz val="8.5"/>
      <name val="MS Sans Serif"/>
      <family val="2"/>
    </font>
    <font>
      <sz val="14"/>
      <name val="MS Sans Serif"/>
      <family val="2"/>
    </font>
    <font>
      <sz val="12"/>
      <name val="MS Sans Serif"/>
      <family val="2"/>
    </font>
    <font>
      <b/>
      <sz val="9"/>
      <name val="Arial"/>
      <family val="2"/>
    </font>
    <font>
      <b/>
      <sz val="10"/>
      <color theme="1" tint="0.249977111117893"/>
      <name val="Arial"/>
      <family val="2"/>
    </font>
    <font>
      <sz val="10"/>
      <color theme="1" tint="0.34998626667073579"/>
      <name val="Arial"/>
      <family val="2"/>
    </font>
    <font>
      <b/>
      <sz val="9"/>
      <color indexed="8"/>
      <name val="Arial"/>
      <family val="2"/>
    </font>
    <font>
      <b/>
      <sz val="11"/>
      <color indexed="8"/>
      <name val="Arial"/>
      <family val="2"/>
    </font>
    <font>
      <sz val="11"/>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sz val="18"/>
      <name val="Lucida Sans"/>
      <family val="2"/>
    </font>
    <font>
      <sz val="14"/>
      <name val="Lucida Sans"/>
      <family val="2"/>
    </font>
    <font>
      <sz val="9"/>
      <name val="Lucida Sans"/>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name val="MS Sans Serif"/>
      <family val="2"/>
    </font>
  </fonts>
  <fills count="39">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1"/>
        <bgColor indexed="64"/>
      </patternFill>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rgb="FFFFFF99"/>
        <bgColor indexed="64"/>
      </patternFill>
    </fill>
    <fill>
      <patternFill patternType="solid">
        <fgColor rgb="FFFF9F9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s>
  <borders count="15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right/>
      <top style="double">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double">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thin">
        <color indexed="64"/>
      </bottom>
      <diagonal/>
    </border>
    <border>
      <left style="double">
        <color indexed="64"/>
      </left>
      <right/>
      <top/>
      <bottom style="double">
        <color indexed="64"/>
      </bottom>
      <diagonal/>
    </border>
    <border>
      <left style="thin">
        <color indexed="64"/>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bottom style="double">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style="double">
        <color indexed="64"/>
      </left>
      <right/>
      <top/>
      <bottom/>
      <diagonal/>
    </border>
    <border>
      <left style="thin">
        <color indexed="64"/>
      </left>
      <right/>
      <top/>
      <bottom/>
      <diagonal/>
    </border>
    <border>
      <left style="thin">
        <color indexed="64"/>
      </left>
      <right style="double">
        <color indexed="64"/>
      </right>
      <top/>
      <bottom/>
      <diagonal/>
    </border>
    <border>
      <left/>
      <right style="thin">
        <color indexed="64"/>
      </right>
      <top style="double">
        <color indexed="64"/>
      </top>
      <bottom style="thin">
        <color indexed="64"/>
      </bottom>
      <diagonal/>
    </border>
    <border>
      <left style="thin">
        <color indexed="64"/>
      </left>
      <right/>
      <top/>
      <bottom style="thin">
        <color indexed="64"/>
      </bottom>
      <diagonal/>
    </border>
    <border>
      <left/>
      <right style="double">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double">
        <color indexed="64"/>
      </right>
      <top style="double">
        <color indexed="64"/>
      </top>
      <bottom style="medium">
        <color indexed="64"/>
      </bottom>
      <diagonal/>
    </border>
    <border>
      <left style="medium">
        <color indexed="64"/>
      </left>
      <right style="double">
        <color indexed="64"/>
      </right>
      <top style="medium">
        <color indexed="64"/>
      </top>
      <bottom style="medium">
        <color indexed="64"/>
      </bottom>
      <diagonal/>
    </border>
    <border>
      <left style="medium">
        <color indexed="64"/>
      </left>
      <right style="double">
        <color indexed="64"/>
      </right>
      <top style="medium">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indexed="64"/>
      </left>
      <right style="thin">
        <color indexed="64"/>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double">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diagonalDown="1">
      <left/>
      <right style="double">
        <color indexed="64"/>
      </right>
      <top style="thin">
        <color indexed="64"/>
      </top>
      <bottom style="double">
        <color indexed="64"/>
      </bottom>
      <diagonal style="thin">
        <color indexed="64"/>
      </diagonal>
    </border>
    <border>
      <left/>
      <right style="double">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double">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double">
        <color indexed="64"/>
      </right>
      <top style="thin">
        <color indexed="64"/>
      </top>
      <bottom/>
      <diagonal/>
    </border>
    <border>
      <left/>
      <right/>
      <top style="double">
        <color indexed="64"/>
      </top>
      <bottom style="double">
        <color indexed="64"/>
      </bottom>
      <diagonal/>
    </border>
    <border>
      <left/>
      <right/>
      <top style="thin">
        <color indexed="64"/>
      </top>
      <bottom style="thin">
        <color indexed="64"/>
      </bottom>
      <diagonal/>
    </border>
    <border>
      <left style="thin">
        <color indexed="64"/>
      </left>
      <right/>
      <top style="double">
        <color indexed="64"/>
      </top>
      <bottom style="double">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top style="thin">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bottom/>
      <diagonal/>
    </border>
    <border>
      <left style="thin">
        <color indexed="64"/>
      </left>
      <right/>
      <top style="double">
        <color indexed="64"/>
      </top>
      <bottom/>
      <diagonal/>
    </border>
    <border>
      <left/>
      <right style="thin">
        <color indexed="64"/>
      </right>
      <top style="double">
        <color indexed="64"/>
      </top>
      <bottom/>
      <diagonal/>
    </border>
    <border>
      <left/>
      <right style="medium">
        <color indexed="64"/>
      </right>
      <top style="double">
        <color indexed="64"/>
      </top>
      <bottom style="double">
        <color indexed="64"/>
      </bottom>
      <diagonal/>
    </border>
    <border>
      <left style="medium">
        <color indexed="64"/>
      </left>
      <right/>
      <top style="double">
        <color indexed="64"/>
      </top>
      <bottom style="double">
        <color indexed="64"/>
      </bottom>
      <diagonal/>
    </border>
    <border>
      <left style="medium">
        <color indexed="64"/>
      </left>
      <right style="medium">
        <color indexed="64"/>
      </right>
      <top style="thick">
        <color indexed="64"/>
      </top>
      <bottom/>
      <diagonal/>
    </border>
    <border>
      <left style="medium">
        <color indexed="64"/>
      </left>
      <right style="thick">
        <color indexed="64"/>
      </right>
      <top style="thick">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medium">
        <color indexed="64"/>
      </left>
      <right style="medium">
        <color indexed="64"/>
      </right>
      <top/>
      <bottom style="thick">
        <color indexed="64"/>
      </bottom>
      <diagonal/>
    </border>
    <border>
      <left style="medium">
        <color indexed="64"/>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diagonal/>
    </border>
    <border>
      <left/>
      <right style="medium">
        <color indexed="64"/>
      </right>
      <top/>
      <bottom/>
      <diagonal/>
    </border>
    <border>
      <left style="thick">
        <color indexed="64"/>
      </left>
      <right/>
      <top/>
      <bottom style="thick">
        <color indexed="64"/>
      </bottom>
      <diagonal/>
    </border>
    <border>
      <left/>
      <right style="medium">
        <color indexed="64"/>
      </right>
      <top/>
      <bottom style="thick">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style="double">
        <color indexed="64"/>
      </right>
      <top style="double">
        <color indexed="64"/>
      </top>
      <bottom/>
      <diagonal/>
    </border>
    <border>
      <left/>
      <right style="double">
        <color indexed="64"/>
      </right>
      <top/>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ck">
        <color indexed="64"/>
      </top>
      <bottom/>
      <diagonal/>
    </border>
    <border>
      <left/>
      <right style="thick">
        <color indexed="64"/>
      </right>
      <top style="thick">
        <color indexed="64"/>
      </top>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auto="1"/>
      </left>
      <right style="medium">
        <color auto="1"/>
      </right>
      <top style="medium">
        <color auto="1"/>
      </top>
      <bottom style="medium">
        <color auto="1"/>
      </bottom>
      <diagonal/>
    </border>
    <border>
      <left/>
      <right/>
      <top style="medium">
        <color indexed="64"/>
      </top>
      <bottom style="medium">
        <color indexed="64"/>
      </bottom>
      <diagonal/>
    </border>
    <border>
      <left style="medium">
        <color indexed="64"/>
      </left>
      <right style="medium">
        <color indexed="64"/>
      </right>
      <top style="thick">
        <color indexed="64"/>
      </top>
      <bottom style="thick">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ck">
        <color indexed="64"/>
      </top>
      <bottom style="medium">
        <color auto="1"/>
      </bottom>
      <diagonal/>
    </border>
    <border>
      <left/>
      <right/>
      <top style="thick">
        <color indexed="64"/>
      </top>
      <bottom style="medium">
        <color auto="1"/>
      </bottom>
      <diagonal/>
    </border>
    <border>
      <left/>
      <right style="medium">
        <color indexed="64"/>
      </right>
      <top style="thick">
        <color indexed="64"/>
      </top>
      <bottom style="medium">
        <color auto="1"/>
      </bottom>
      <diagonal/>
    </border>
    <border>
      <left style="medium">
        <color indexed="64"/>
      </left>
      <right/>
      <top/>
      <bottom/>
      <diagonal/>
    </border>
  </borders>
  <cellStyleXfs count="46">
    <xf numFmtId="0" fontId="0" fillId="0" borderId="0"/>
    <xf numFmtId="0" fontId="19" fillId="0" borderId="0"/>
    <xf numFmtId="0" fontId="2" fillId="0" borderId="0"/>
    <xf numFmtId="0" fontId="1" fillId="0" borderId="0"/>
    <xf numFmtId="0" fontId="1" fillId="0" borderId="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19"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41" fillId="26"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33" borderId="0" applyNumberFormat="0" applyBorder="0" applyAlignment="0" applyProtection="0"/>
    <xf numFmtId="0" fontId="42" fillId="17" borderId="0" applyNumberFormat="0" applyBorder="0" applyAlignment="0" applyProtection="0"/>
    <xf numFmtId="0" fontId="43" fillId="34" borderId="143" applyNumberFormat="0" applyAlignment="0" applyProtection="0"/>
    <xf numFmtId="0" fontId="44" fillId="35" borderId="144" applyNumberFormat="0" applyAlignment="0" applyProtection="0"/>
    <xf numFmtId="0" fontId="45" fillId="0" borderId="0" applyNumberFormat="0" applyFill="0" applyBorder="0" applyAlignment="0" applyProtection="0"/>
    <xf numFmtId="0" fontId="46" fillId="18" borderId="0" applyNumberFormat="0" applyBorder="0" applyAlignment="0" applyProtection="0"/>
    <xf numFmtId="0" fontId="47" fillId="0" borderId="145" applyNumberFormat="0" applyFill="0" applyAlignment="0" applyProtection="0"/>
    <xf numFmtId="0" fontId="48" fillId="0" borderId="146" applyNumberFormat="0" applyFill="0" applyAlignment="0" applyProtection="0"/>
    <xf numFmtId="0" fontId="49" fillId="0" borderId="147" applyNumberFormat="0" applyFill="0" applyAlignment="0" applyProtection="0"/>
    <xf numFmtId="0" fontId="50" fillId="0" borderId="0" applyNumberFormat="0" applyFill="0" applyBorder="0" applyAlignment="0" applyProtection="0"/>
    <xf numFmtId="0" fontId="51" fillId="21" borderId="143" applyNumberFormat="0" applyAlignment="0" applyProtection="0"/>
    <xf numFmtId="0" fontId="52" fillId="0" borderId="148" applyNumberFormat="0" applyFill="0" applyAlignment="0" applyProtection="0"/>
    <xf numFmtId="0" fontId="53" fillId="36" borderId="0" applyNumberFormat="0" applyBorder="0" applyAlignment="0" applyProtection="0"/>
    <xf numFmtId="0" fontId="1" fillId="37" borderId="149" applyNumberFormat="0" applyFont="0" applyAlignment="0" applyProtection="0"/>
    <xf numFmtId="0" fontId="54" fillId="34" borderId="150" applyNumberFormat="0" applyAlignment="0" applyProtection="0"/>
    <xf numFmtId="0" fontId="55" fillId="0" borderId="0" applyNumberFormat="0" applyFill="0" applyBorder="0" applyAlignment="0" applyProtection="0"/>
    <xf numFmtId="0" fontId="7" fillId="0" borderId="151" applyNumberFormat="0" applyFill="0" applyAlignment="0" applyProtection="0"/>
    <xf numFmtId="0" fontId="25" fillId="0" borderId="0" applyNumberFormat="0" applyFill="0" applyBorder="0" applyAlignment="0" applyProtection="0"/>
  </cellStyleXfs>
  <cellXfs count="1066">
    <xf numFmtId="0" fontId="0" fillId="0" borderId="0" xfId="0"/>
    <xf numFmtId="0" fontId="6" fillId="0" borderId="0" xfId="0" applyFont="1"/>
    <xf numFmtId="0" fontId="0" fillId="0" borderId="0" xfId="0" applyAlignment="1">
      <alignment wrapText="1"/>
    </xf>
    <xf numFmtId="0" fontId="8" fillId="0" borderId="0" xfId="0" applyFont="1"/>
    <xf numFmtId="0" fontId="8" fillId="0" borderId="0" xfId="0" applyFont="1" applyAlignment="1">
      <alignment vertical="top" wrapText="1"/>
    </xf>
    <xf numFmtId="0" fontId="6" fillId="0" borderId="0" xfId="0" applyFont="1" applyAlignment="1">
      <alignment vertical="top" wrapText="1"/>
    </xf>
    <xf numFmtId="0" fontId="6" fillId="0" borderId="0" xfId="0" applyFont="1" applyAlignment="1">
      <alignment wrapText="1"/>
    </xf>
    <xf numFmtId="0" fontId="2" fillId="0" borderId="0" xfId="0" applyFont="1"/>
    <xf numFmtId="0" fontId="12" fillId="0" borderId="0" xfId="0" applyFont="1" applyAlignment="1">
      <alignment horizontal="center"/>
    </xf>
    <xf numFmtId="0" fontId="6" fillId="0" borderId="0" xfId="0" applyFont="1" applyAlignment="1">
      <alignment horizontal="center"/>
    </xf>
    <xf numFmtId="0" fontId="13" fillId="0" borderId="0" xfId="0" applyFont="1" applyAlignment="1">
      <alignment horizontal="center"/>
    </xf>
    <xf numFmtId="0" fontId="5" fillId="0" borderId="0" xfId="0" applyFont="1"/>
    <xf numFmtId="0" fontId="9" fillId="0" borderId="0" xfId="0" applyFont="1" applyAlignment="1">
      <alignment horizontal="left"/>
    </xf>
    <xf numFmtId="0" fontId="9" fillId="0" borderId="0" xfId="0" applyFont="1" applyAlignment="1">
      <alignment vertical="top"/>
    </xf>
    <xf numFmtId="0" fontId="0" fillId="0" borderId="0" xfId="0" applyAlignment="1">
      <alignment horizontal="center"/>
    </xf>
    <xf numFmtId="0" fontId="5" fillId="0" borderId="0" xfId="0" applyFont="1" applyAlignment="1">
      <alignment horizontal="center"/>
    </xf>
    <xf numFmtId="0" fontId="3" fillId="0" borderId="0" xfId="0" applyFont="1"/>
    <xf numFmtId="0" fontId="7" fillId="0" borderId="0" xfId="0" applyFont="1" applyAlignment="1">
      <alignment horizontal="center" wrapText="1"/>
    </xf>
    <xf numFmtId="0" fontId="15" fillId="0" borderId="0" xfId="0" applyFont="1" applyAlignment="1">
      <alignment horizontal="center" vertical="center" wrapText="1"/>
    </xf>
    <xf numFmtId="0" fontId="17" fillId="0" borderId="0" xfId="0" applyFont="1" applyAlignment="1">
      <alignment horizontal="center" vertical="center" wrapText="1"/>
    </xf>
    <xf numFmtId="0" fontId="16" fillId="0" borderId="0" xfId="0" applyFont="1" applyAlignment="1">
      <alignment horizontal="center" vertical="center" wrapText="1"/>
    </xf>
    <xf numFmtId="0" fontId="18" fillId="0" borderId="1" xfId="0" applyFont="1" applyBorder="1" applyAlignment="1">
      <alignment horizontal="center" vertical="center"/>
    </xf>
    <xf numFmtId="0" fontId="19" fillId="2" borderId="0" xfId="1" applyFill="1"/>
    <xf numFmtId="0" fontId="14" fillId="0" borderId="0" xfId="0" applyFont="1" applyAlignment="1">
      <alignment horizontal="left"/>
    </xf>
    <xf numFmtId="0" fontId="14" fillId="0" borderId="0" xfId="0" applyFont="1"/>
    <xf numFmtId="0" fontId="0" fillId="3" borderId="0" xfId="0" applyFill="1" applyAlignment="1" applyProtection="1">
      <alignment horizontal="center" vertical="center"/>
      <protection hidden="1"/>
    </xf>
    <xf numFmtId="0" fontId="24" fillId="0" borderId="0" xfId="0" applyFont="1" applyAlignment="1">
      <alignment horizontal="left"/>
    </xf>
    <xf numFmtId="0" fontId="22" fillId="3" borderId="0" xfId="0" applyFont="1" applyFill="1" applyAlignment="1" applyProtection="1">
      <alignment horizontal="left" vertical="center"/>
      <protection locked="0"/>
    </xf>
    <xf numFmtId="0" fontId="11" fillId="3" borderId="0" xfId="0" applyFont="1" applyFill="1" applyAlignment="1" applyProtection="1">
      <alignment horizontal="center"/>
      <protection hidden="1"/>
    </xf>
    <xf numFmtId="0" fontId="0" fillId="3" borderId="0" xfId="0" applyFill="1" applyProtection="1">
      <protection hidden="1"/>
    </xf>
    <xf numFmtId="0" fontId="21" fillId="3" borderId="0" xfId="0" applyFont="1" applyFill="1" applyAlignment="1" applyProtection="1">
      <alignment horizontal="left" vertical="center"/>
      <protection locked="0"/>
    </xf>
    <xf numFmtId="14" fontId="5" fillId="0" borderId="0" xfId="1" applyNumberFormat="1" applyFont="1" applyAlignment="1" applyProtection="1">
      <alignment horizontal="left"/>
      <protection locked="0"/>
    </xf>
    <xf numFmtId="0" fontId="7" fillId="0" borderId="0" xfId="0" applyFont="1"/>
    <xf numFmtId="0" fontId="19" fillId="0" borderId="0" xfId="1"/>
    <xf numFmtId="0" fontId="4" fillId="0" borderId="0" xfId="0" applyFont="1" applyAlignment="1">
      <alignment horizontal="center" wrapText="1"/>
    </xf>
    <xf numFmtId="0" fontId="23" fillId="0" borderId="0" xfId="0" applyFont="1"/>
    <xf numFmtId="0" fontId="3" fillId="0" borderId="0" xfId="0" applyFont="1" applyAlignment="1">
      <alignment horizontal="center"/>
    </xf>
    <xf numFmtId="0" fontId="8" fillId="0" borderId="0" xfId="0" applyFont="1" applyAlignment="1">
      <alignment horizontal="center" vertical="top" wrapText="1"/>
    </xf>
    <xf numFmtId="0" fontId="5" fillId="0" borderId="4" xfId="0" applyFont="1" applyBorder="1" applyAlignment="1">
      <alignment horizontal="center" vertical="center"/>
    </xf>
    <xf numFmtId="0" fontId="5" fillId="0" borderId="0" xfId="0" applyFont="1" applyAlignment="1">
      <alignment horizontal="center" vertical="center"/>
    </xf>
    <xf numFmtId="0" fontId="8" fillId="0" borderId="0" xfId="0" applyFont="1" applyAlignment="1">
      <alignment horizontal="center" wrapText="1"/>
    </xf>
    <xf numFmtId="0" fontId="6" fillId="0" borderId="0" xfId="0" applyFont="1" applyAlignment="1">
      <alignment horizontal="center" wrapText="1"/>
    </xf>
    <xf numFmtId="0" fontId="8" fillId="0" borderId="4" xfId="0" applyFont="1" applyBorder="1" applyAlignment="1">
      <alignment horizontal="center" vertical="top" wrapText="1"/>
    </xf>
    <xf numFmtId="0" fontId="18" fillId="5" borderId="5" xfId="0" applyFont="1" applyFill="1" applyBorder="1" applyAlignment="1">
      <alignment horizontal="center" vertical="center"/>
    </xf>
    <xf numFmtId="0" fontId="3" fillId="5" borderId="6" xfId="1" applyFont="1" applyFill="1" applyBorder="1" applyAlignment="1">
      <alignment horizontal="center"/>
    </xf>
    <xf numFmtId="0" fontId="3" fillId="5" borderId="7" xfId="1" applyFont="1" applyFill="1" applyBorder="1" applyAlignment="1">
      <alignment horizontal="center"/>
    </xf>
    <xf numFmtId="0" fontId="0" fillId="0" borderId="0" xfId="0" applyAlignment="1">
      <alignment horizontal="center" vertical="center" wrapText="1"/>
    </xf>
    <xf numFmtId="0" fontId="24" fillId="0" borderId="0" xfId="0" applyFont="1" applyAlignment="1">
      <alignment horizontal="center"/>
    </xf>
    <xf numFmtId="0" fontId="19" fillId="6" borderId="0" xfId="1" applyFill="1"/>
    <xf numFmtId="0" fontId="23" fillId="0" borderId="12" xfId="0" applyFont="1" applyBorder="1" applyAlignment="1">
      <alignment horizontal="center"/>
    </xf>
    <xf numFmtId="0" fontId="0" fillId="0" borderId="12" xfId="0" applyBorder="1"/>
    <xf numFmtId="0" fontId="10" fillId="5" borderId="13" xfId="0" applyFont="1" applyFill="1" applyBorder="1" applyAlignment="1">
      <alignment horizontal="center" vertical="top" wrapText="1"/>
    </xf>
    <xf numFmtId="0" fontId="10" fillId="0" borderId="14" xfId="0" applyFont="1" applyBorder="1" applyAlignment="1">
      <alignment horizontal="center" vertical="top" wrapText="1"/>
    </xf>
    <xf numFmtId="0" fontId="11" fillId="5" borderId="13" xfId="0" applyFont="1" applyFill="1" applyBorder="1" applyAlignment="1">
      <alignment horizontal="center"/>
    </xf>
    <xf numFmtId="0" fontId="11" fillId="5" borderId="15" xfId="0" applyFont="1" applyFill="1" applyBorder="1" applyAlignment="1">
      <alignment horizontal="center"/>
    </xf>
    <xf numFmtId="0" fontId="10" fillId="0" borderId="16" xfId="0" applyFont="1" applyBorder="1" applyAlignment="1">
      <alignment horizontal="center" vertical="top" wrapText="1"/>
    </xf>
    <xf numFmtId="0" fontId="10" fillId="0" borderId="17" xfId="0" applyFont="1" applyBorder="1" applyAlignment="1">
      <alignment horizontal="center" vertical="top" wrapText="1"/>
    </xf>
    <xf numFmtId="0" fontId="10" fillId="0" borderId="1" xfId="0" applyFont="1" applyBorder="1" applyAlignment="1">
      <alignment horizontal="center" vertical="top" wrapText="1"/>
    </xf>
    <xf numFmtId="0" fontId="10" fillId="0" borderId="18" xfId="0" applyFont="1" applyBorder="1" applyAlignment="1">
      <alignment horizontal="center" vertical="top" wrapText="1"/>
    </xf>
    <xf numFmtId="0" fontId="10" fillId="0" borderId="19" xfId="0" applyFont="1" applyBorder="1" applyAlignment="1">
      <alignment horizontal="center" vertical="top" wrapText="1"/>
    </xf>
    <xf numFmtId="0" fontId="10" fillId="0" borderId="0" xfId="0" applyFont="1" applyAlignment="1">
      <alignment horizontal="center" wrapText="1"/>
    </xf>
    <xf numFmtId="0" fontId="27" fillId="0" borderId="0" xfId="0" applyFont="1" applyAlignment="1">
      <alignment horizontal="center" wrapText="1"/>
    </xf>
    <xf numFmtId="0" fontId="23" fillId="0" borderId="0" xfId="0" applyFont="1" applyAlignment="1">
      <alignment horizontal="right"/>
    </xf>
    <xf numFmtId="0" fontId="0" fillId="0" borderId="0" xfId="0" applyAlignment="1">
      <alignment horizontal="right"/>
    </xf>
    <xf numFmtId="0" fontId="28" fillId="0" borderId="0" xfId="0" applyFont="1"/>
    <xf numFmtId="0" fontId="25" fillId="0" borderId="0" xfId="0" applyFont="1"/>
    <xf numFmtId="0" fontId="10" fillId="5" borderId="9" xfId="0" applyFont="1" applyFill="1" applyBorder="1" applyAlignment="1">
      <alignment horizontal="center" wrapText="1"/>
    </xf>
    <xf numFmtId="0" fontId="10" fillId="5" borderId="12" xfId="0" applyFont="1" applyFill="1" applyBorder="1" applyAlignment="1">
      <alignment horizontal="center" wrapText="1"/>
    </xf>
    <xf numFmtId="0" fontId="10" fillId="5" borderId="20" xfId="0" applyFont="1" applyFill="1" applyBorder="1" applyAlignment="1">
      <alignment horizontal="center" wrapText="1"/>
    </xf>
    <xf numFmtId="0" fontId="10" fillId="5" borderId="2" xfId="0" applyFont="1" applyFill="1" applyBorder="1" applyAlignment="1">
      <alignment horizontal="center" wrapText="1"/>
    </xf>
    <xf numFmtId="0" fontId="11" fillId="5" borderId="12" xfId="0" applyFont="1" applyFill="1" applyBorder="1" applyAlignment="1">
      <alignment horizontal="center" wrapText="1"/>
    </xf>
    <xf numFmtId="0" fontId="11" fillId="5" borderId="21" xfId="0" applyFont="1" applyFill="1" applyBorder="1"/>
    <xf numFmtId="0" fontId="0" fillId="7" borderId="0" xfId="0" applyFill="1"/>
    <xf numFmtId="0" fontId="31" fillId="0" borderId="0" xfId="0" applyFont="1"/>
    <xf numFmtId="0" fontId="31" fillId="0" borderId="24" xfId="0" applyFont="1" applyBorder="1" applyAlignment="1">
      <alignment horizontal="center"/>
    </xf>
    <xf numFmtId="0" fontId="31" fillId="0" borderId="15" xfId="0" applyFont="1" applyBorder="1" applyAlignment="1">
      <alignment horizontal="center"/>
    </xf>
    <xf numFmtId="0" fontId="31" fillId="0" borderId="25" xfId="0" applyFont="1" applyBorder="1" applyAlignment="1">
      <alignment horizontal="center"/>
    </xf>
    <xf numFmtId="0" fontId="4" fillId="0" borderId="0" xfId="0" applyFont="1"/>
    <xf numFmtId="0" fontId="29" fillId="0" borderId="0" xfId="0" applyFont="1" applyAlignment="1">
      <alignment horizontal="right"/>
    </xf>
    <xf numFmtId="0" fontId="31" fillId="0" borderId="0" xfId="0" applyFont="1" applyAlignment="1">
      <alignment horizontal="center"/>
    </xf>
    <xf numFmtId="0" fontId="18" fillId="0" borderId="0" xfId="0" applyFont="1" applyAlignment="1">
      <alignment horizontal="center"/>
    </xf>
    <xf numFmtId="49" fontId="0" fillId="0" borderId="0" xfId="0" applyNumberFormat="1" applyAlignment="1">
      <alignment horizontal="center"/>
    </xf>
    <xf numFmtId="0" fontId="4" fillId="0" borderId="0" xfId="0" applyFont="1" applyAlignment="1">
      <alignment horizont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0" borderId="0" xfId="0" applyAlignment="1">
      <alignment horizontal="center" vertical="center"/>
    </xf>
    <xf numFmtId="0" fontId="0" fillId="5" borderId="30" xfId="0" applyFill="1" applyBorder="1" applyAlignment="1">
      <alignment horizontal="center" vertical="center"/>
    </xf>
    <xf numFmtId="0" fontId="0" fillId="0" borderId="1" xfId="0" applyBorder="1" applyAlignment="1">
      <alignment horizontal="center" vertical="center"/>
    </xf>
    <xf numFmtId="0" fontId="0" fillId="5" borderId="31" xfId="0" applyFill="1" applyBorder="1" applyAlignment="1">
      <alignment horizontal="center" vertical="center"/>
    </xf>
    <xf numFmtId="0" fontId="0" fillId="0" borderId="32" xfId="0" applyBorder="1" applyAlignment="1">
      <alignment horizontal="center" vertical="center"/>
    </xf>
    <xf numFmtId="0" fontId="0" fillId="5" borderId="33" xfId="0" applyFill="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4" fillId="0" borderId="0" xfId="0" applyFont="1" applyAlignment="1">
      <alignment horizontal="left" vertical="center"/>
    </xf>
    <xf numFmtId="0" fontId="19" fillId="2" borderId="0" xfId="1" applyFill="1" applyAlignment="1">
      <alignment horizontal="center" vertical="center"/>
    </xf>
    <xf numFmtId="1" fontId="26" fillId="6" borderId="36" xfId="1" applyNumberFormat="1" applyFont="1" applyFill="1" applyBorder="1" applyAlignment="1">
      <alignment horizontal="center" vertical="center"/>
    </xf>
    <xf numFmtId="164" fontId="26" fillId="6" borderId="37" xfId="1" applyNumberFormat="1" applyFont="1" applyFill="1" applyBorder="1" applyAlignment="1">
      <alignment horizontal="center" vertical="center"/>
    </xf>
    <xf numFmtId="1" fontId="26" fillId="6" borderId="15" xfId="1" applyNumberFormat="1" applyFont="1" applyFill="1" applyBorder="1" applyAlignment="1">
      <alignment horizontal="center" vertical="center"/>
    </xf>
    <xf numFmtId="164" fontId="26" fillId="6" borderId="38" xfId="1" applyNumberFormat="1" applyFont="1" applyFill="1" applyBorder="1" applyAlignment="1">
      <alignment horizontal="center" vertical="center"/>
    </xf>
    <xf numFmtId="164" fontId="26" fillId="6" borderId="14" xfId="1" applyNumberFormat="1" applyFont="1" applyFill="1" applyBorder="1" applyAlignment="1">
      <alignment horizontal="center" vertical="center"/>
    </xf>
    <xf numFmtId="1" fontId="26" fillId="6" borderId="23" xfId="1" applyNumberFormat="1" applyFont="1" applyFill="1" applyBorder="1" applyAlignment="1">
      <alignment horizontal="center" vertical="center"/>
    </xf>
    <xf numFmtId="164" fontId="26" fillId="6" borderId="39" xfId="1" applyNumberFormat="1" applyFont="1" applyFill="1" applyBorder="1" applyAlignment="1">
      <alignment horizontal="center" vertical="center"/>
    </xf>
    <xf numFmtId="164" fontId="26" fillId="6" borderId="26" xfId="1" applyNumberFormat="1" applyFont="1" applyFill="1" applyBorder="1" applyAlignment="1">
      <alignment horizontal="center" vertical="center"/>
    </xf>
    <xf numFmtId="1" fontId="26" fillId="6" borderId="38" xfId="1" applyNumberFormat="1" applyFont="1" applyFill="1" applyBorder="1" applyAlignment="1">
      <alignment horizontal="center" vertical="center"/>
    </xf>
    <xf numFmtId="0" fontId="11" fillId="5" borderId="50" xfId="0" applyFont="1" applyFill="1" applyBorder="1" applyAlignment="1">
      <alignment horizontal="center" vertical="center" wrapText="1"/>
    </xf>
    <xf numFmtId="0" fontId="11" fillId="5" borderId="5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0" fillId="0" borderId="0" xfId="0" applyAlignment="1">
      <alignment vertical="center"/>
    </xf>
    <xf numFmtId="0" fontId="8" fillId="0" borderId="27" xfId="0" applyFont="1" applyBorder="1" applyAlignment="1">
      <alignment horizontal="center" vertical="center" wrapText="1"/>
    </xf>
    <xf numFmtId="0" fontId="5" fillId="5" borderId="55" xfId="0" applyFont="1" applyFill="1" applyBorder="1" applyAlignment="1">
      <alignment horizontal="center" vertical="center"/>
    </xf>
    <xf numFmtId="0" fontId="5" fillId="5" borderId="56" xfId="0" applyFont="1" applyFill="1" applyBorder="1" applyAlignment="1">
      <alignment horizontal="center" vertical="center"/>
    </xf>
    <xf numFmtId="0" fontId="5" fillId="7" borderId="46" xfId="0" applyFont="1" applyFill="1" applyBorder="1" applyAlignment="1">
      <alignment horizontal="center" vertical="center"/>
    </xf>
    <xf numFmtId="0" fontId="5" fillId="7" borderId="1" xfId="0" applyFont="1" applyFill="1" applyBorder="1" applyAlignment="1">
      <alignment horizontal="center" vertical="center"/>
    </xf>
    <xf numFmtId="0" fontId="20" fillId="0" borderId="46" xfId="0" applyFont="1" applyBorder="1" applyAlignment="1">
      <alignment horizontal="center" vertical="center"/>
    </xf>
    <xf numFmtId="0" fontId="20" fillId="0" borderId="1" xfId="0" applyFont="1" applyBorder="1" applyAlignment="1">
      <alignment horizontal="center" vertical="center"/>
    </xf>
    <xf numFmtId="0" fontId="20" fillId="0" borderId="57" xfId="0" applyFont="1" applyBorder="1" applyAlignment="1">
      <alignment horizontal="center" vertical="center"/>
    </xf>
    <xf numFmtId="0" fontId="5" fillId="0" borderId="46" xfId="0" applyFont="1" applyBorder="1" applyAlignment="1">
      <alignment horizontal="center" vertical="center"/>
    </xf>
    <xf numFmtId="0" fontId="5" fillId="0" borderId="1" xfId="0" applyFont="1" applyBorder="1" applyAlignment="1">
      <alignment horizontal="center" vertical="center"/>
    </xf>
    <xf numFmtId="0" fontId="5" fillId="0" borderId="57" xfId="0" applyFont="1" applyBorder="1" applyAlignment="1">
      <alignment horizontal="center" vertical="center"/>
    </xf>
    <xf numFmtId="0" fontId="5" fillId="7" borderId="48" xfId="0" applyFont="1" applyFill="1" applyBorder="1" applyAlignment="1">
      <alignment horizontal="center" vertical="center"/>
    </xf>
    <xf numFmtId="0" fontId="5" fillId="0" borderId="0" xfId="0" applyFont="1" applyAlignment="1">
      <alignment vertical="center"/>
    </xf>
    <xf numFmtId="0" fontId="9" fillId="0" borderId="0" xfId="0" applyFont="1" applyAlignment="1">
      <alignment vertical="center"/>
    </xf>
    <xf numFmtId="0" fontId="9" fillId="0" borderId="0" xfId="0" applyFont="1" applyAlignment="1">
      <alignment vertical="center" wrapText="1"/>
    </xf>
    <xf numFmtId="0" fontId="0" fillId="5" borderId="58" xfId="0" applyFill="1" applyBorder="1" applyAlignment="1">
      <alignment horizontal="center" vertical="center"/>
    </xf>
    <xf numFmtId="0" fontId="0" fillId="0" borderId="36" xfId="0" applyBorder="1" applyAlignment="1">
      <alignment horizontal="center" vertical="center"/>
    </xf>
    <xf numFmtId="0" fontId="0" fillId="0" borderId="44" xfId="0" applyBorder="1" applyAlignment="1">
      <alignment horizontal="center" vertical="center"/>
    </xf>
    <xf numFmtId="0" fontId="0" fillId="0" borderId="59" xfId="0" applyBorder="1" applyAlignment="1">
      <alignment horizontal="center" vertical="center"/>
    </xf>
    <xf numFmtId="49" fontId="0" fillId="7" borderId="60" xfId="0" applyNumberFormat="1" applyFill="1" applyBorder="1" applyAlignment="1">
      <alignment horizontal="center" vertical="center"/>
    </xf>
    <xf numFmtId="49" fontId="0" fillId="7" borderId="62" xfId="0" applyNumberFormat="1" applyFill="1" applyBorder="1" applyAlignment="1">
      <alignment horizontal="center" vertical="center"/>
    </xf>
    <xf numFmtId="49" fontId="0" fillId="0" borderId="40" xfId="0" applyNumberFormat="1" applyBorder="1" applyAlignment="1">
      <alignment horizontal="center" vertical="center"/>
    </xf>
    <xf numFmtId="0" fontId="0" fillId="0" borderId="40" xfId="0" applyBorder="1" applyAlignment="1">
      <alignment horizontal="center" vertical="center"/>
    </xf>
    <xf numFmtId="0" fontId="19" fillId="2" borderId="0" xfId="1" applyFill="1" applyAlignment="1">
      <alignment horizontal="left" vertical="center"/>
    </xf>
    <xf numFmtId="0" fontId="19" fillId="4" borderId="16" xfId="1" applyFill="1" applyBorder="1" applyAlignment="1" applyProtection="1">
      <alignment horizontal="center" vertical="center"/>
      <protection locked="0"/>
    </xf>
    <xf numFmtId="0" fontId="19" fillId="4" borderId="1" xfId="1" applyFill="1" applyBorder="1" applyAlignment="1" applyProtection="1">
      <alignment horizontal="center" vertical="center"/>
      <protection locked="0"/>
    </xf>
    <xf numFmtId="0" fontId="19" fillId="4" borderId="15" xfId="1" applyFill="1" applyBorder="1" applyAlignment="1" applyProtection="1">
      <alignment horizontal="center" vertical="center"/>
      <protection locked="0"/>
    </xf>
    <xf numFmtId="0" fontId="0" fillId="0" borderId="0" xfId="0" applyProtection="1">
      <protection locked="0"/>
    </xf>
    <xf numFmtId="0" fontId="9" fillId="0" borderId="27" xfId="0" applyFont="1" applyBorder="1" applyAlignment="1" applyProtection="1">
      <alignment horizontal="center" vertical="center" wrapText="1"/>
      <protection locked="0"/>
    </xf>
    <xf numFmtId="0" fontId="5" fillId="0" borderId="27" xfId="0" applyFont="1" applyBorder="1" applyAlignment="1" applyProtection="1">
      <alignment horizontal="center" vertical="center" wrapText="1"/>
      <protection locked="0"/>
    </xf>
    <xf numFmtId="0" fontId="5" fillId="0" borderId="20" xfId="0" applyFont="1"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0" xfId="0" applyAlignment="1" applyProtection="1">
      <alignment horizontal="center"/>
      <protection locked="0"/>
    </xf>
    <xf numFmtId="0" fontId="8" fillId="3" borderId="0" xfId="0" applyFont="1" applyFill="1" applyAlignment="1" applyProtection="1">
      <alignment horizontal="center" wrapText="1"/>
      <protection locked="0"/>
    </xf>
    <xf numFmtId="0" fontId="5" fillId="0" borderId="0" xfId="0" applyFont="1" applyAlignment="1" applyProtection="1">
      <alignment horizontal="center" wrapText="1"/>
      <protection locked="0"/>
    </xf>
    <xf numFmtId="1" fontId="20" fillId="3" borderId="0" xfId="0" applyNumberFormat="1" applyFont="1" applyFill="1" applyAlignment="1" applyProtection="1">
      <alignment horizontal="center" wrapText="1"/>
      <protection locked="0"/>
    </xf>
    <xf numFmtId="0" fontId="3" fillId="0" borderId="0" xfId="0" applyFont="1" applyAlignment="1" applyProtection="1">
      <alignment horizontal="center"/>
      <protection locked="0"/>
    </xf>
    <xf numFmtId="0" fontId="25" fillId="7" borderId="0" xfId="0" applyFont="1" applyFill="1" applyProtection="1">
      <protection locked="0"/>
    </xf>
    <xf numFmtId="0" fontId="0" fillId="7" borderId="0" xfId="0" applyFill="1" applyProtection="1">
      <protection locked="0"/>
    </xf>
    <xf numFmtId="0" fontId="3" fillId="7" borderId="0" xfId="0" applyFont="1" applyFill="1" applyProtection="1">
      <protection locked="0"/>
    </xf>
    <xf numFmtId="0" fontId="6" fillId="0" borderId="0" xfId="0" applyFont="1" applyProtection="1">
      <protection locked="0"/>
    </xf>
    <xf numFmtId="0" fontId="9" fillId="7" borderId="16" xfId="0" applyFont="1" applyFill="1" applyBorder="1" applyAlignment="1">
      <alignment horizontal="center" vertical="center" wrapText="1"/>
    </xf>
    <xf numFmtId="1" fontId="20" fillId="7" borderId="27" xfId="0" applyNumberFormat="1" applyFont="1" applyFill="1" applyBorder="1" applyAlignment="1">
      <alignment horizontal="center" vertical="center" wrapText="1"/>
    </xf>
    <xf numFmtId="164" fontId="20" fillId="7" borderId="27" xfId="0" applyNumberFormat="1" applyFont="1" applyFill="1" applyBorder="1" applyAlignment="1">
      <alignment horizontal="center" vertical="center" wrapText="1"/>
    </xf>
    <xf numFmtId="0" fontId="9" fillId="7" borderId="1" xfId="0" applyFont="1" applyFill="1" applyBorder="1" applyAlignment="1">
      <alignment horizontal="center" vertical="center" wrapText="1"/>
    </xf>
    <xf numFmtId="0" fontId="14" fillId="0" borderId="0" xfId="0" applyFont="1" applyAlignment="1" applyProtection="1">
      <alignment horizontal="left"/>
      <protection locked="0"/>
    </xf>
    <xf numFmtId="14" fontId="22" fillId="0" borderId="0" xfId="0" applyNumberFormat="1" applyFont="1" applyAlignment="1" applyProtection="1">
      <alignment horizontal="left"/>
      <protection locked="0"/>
    </xf>
    <xf numFmtId="0" fontId="0" fillId="0" borderId="0" xfId="0" applyAlignment="1" applyProtection="1">
      <alignment horizontal="left"/>
      <protection locked="0"/>
    </xf>
    <xf numFmtId="0" fontId="3" fillId="0" borderId="0" xfId="0" applyFont="1" applyAlignment="1" applyProtection="1">
      <alignment horizontal="right"/>
      <protection locked="0"/>
    </xf>
    <xf numFmtId="0" fontId="14" fillId="0" borderId="0" xfId="0" applyFont="1" applyAlignment="1" applyProtection="1">
      <alignment horizontal="right"/>
      <protection locked="0"/>
    </xf>
    <xf numFmtId="0" fontId="22" fillId="0" borderId="0" xfId="0" applyFont="1" applyAlignment="1" applyProtection="1">
      <alignment horizontal="center"/>
      <protection locked="0"/>
    </xf>
    <xf numFmtId="0" fontId="5" fillId="0" borderId="0" xfId="1" applyFont="1" applyProtection="1">
      <protection locked="0"/>
    </xf>
    <xf numFmtId="0" fontId="4" fillId="0" borderId="0" xfId="1" applyFont="1" applyProtection="1">
      <protection locked="0"/>
    </xf>
    <xf numFmtId="0" fontId="19" fillId="0" borderId="0" xfId="1" applyProtection="1">
      <protection locked="0"/>
    </xf>
    <xf numFmtId="0" fontId="19" fillId="0" borderId="0" xfId="1" applyAlignment="1" applyProtection="1">
      <alignment horizontal="center" vertical="center"/>
      <protection locked="0"/>
    </xf>
    <xf numFmtId="164" fontId="26" fillId="0" borderId="0" xfId="1" applyNumberFormat="1" applyFont="1" applyAlignment="1" applyProtection="1">
      <alignment horizontal="center" vertical="center"/>
      <protection locked="0"/>
    </xf>
    <xf numFmtId="1" fontId="26" fillId="0" borderId="0" xfId="1" applyNumberFormat="1" applyFont="1" applyAlignment="1" applyProtection="1">
      <alignment horizontal="center" vertical="center"/>
      <protection locked="0"/>
    </xf>
    <xf numFmtId="0" fontId="19" fillId="7" borderId="0" xfId="1" applyFill="1" applyProtection="1">
      <protection locked="0"/>
    </xf>
    <xf numFmtId="0" fontId="9" fillId="6" borderId="45" xfId="0" applyFont="1" applyFill="1" applyBorder="1" applyAlignment="1" applyProtection="1">
      <alignment horizontal="center" vertical="center" wrapText="1"/>
      <protection locked="0"/>
    </xf>
    <xf numFmtId="0" fontId="11" fillId="0" borderId="0" xfId="0" applyFont="1"/>
    <xf numFmtId="0" fontId="32" fillId="0" borderId="0" xfId="1" applyFont="1"/>
    <xf numFmtId="0" fontId="11" fillId="0" borderId="0" xfId="1" applyFont="1" applyAlignment="1">
      <alignment vertical="center"/>
    </xf>
    <xf numFmtId="0" fontId="33" fillId="0" borderId="0" xfId="1" applyFont="1"/>
    <xf numFmtId="0" fontId="19" fillId="6" borderId="1" xfId="1" applyFill="1" applyBorder="1"/>
    <xf numFmtId="0" fontId="4" fillId="5" borderId="27"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46"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57" xfId="0" applyFont="1" applyFill="1" applyBorder="1" applyAlignment="1">
      <alignment horizontal="center" vertical="center"/>
    </xf>
    <xf numFmtId="0" fontId="5" fillId="5" borderId="67" xfId="0" applyFont="1" applyFill="1" applyBorder="1" applyAlignment="1">
      <alignment horizontal="center" vertical="center"/>
    </xf>
    <xf numFmtId="0" fontId="5" fillId="5" borderId="68" xfId="0" applyFont="1" applyFill="1" applyBorder="1" applyAlignment="1">
      <alignment horizontal="center" vertical="center"/>
    </xf>
    <xf numFmtId="0" fontId="5" fillId="5" borderId="43" xfId="0" applyFont="1" applyFill="1" applyBorder="1" applyAlignment="1" applyProtection="1">
      <alignment horizontal="center"/>
      <protection locked="0"/>
    </xf>
    <xf numFmtId="0" fontId="0" fillId="5" borderId="14" xfId="0" applyFill="1" applyBorder="1" applyAlignment="1" applyProtection="1">
      <alignment horizontal="center"/>
      <protection locked="0"/>
    </xf>
    <xf numFmtId="0" fontId="4" fillId="0" borderId="69" xfId="0" applyFont="1" applyBorder="1"/>
    <xf numFmtId="14" fontId="5" fillId="0" borderId="69" xfId="0" applyNumberFormat="1" applyFont="1" applyBorder="1" applyAlignment="1">
      <alignment horizontal="left"/>
    </xf>
    <xf numFmtId="165" fontId="4" fillId="0" borderId="69" xfId="0" applyNumberFormat="1" applyFont="1" applyBorder="1"/>
    <xf numFmtId="0" fontId="5" fillId="0" borderId="69" xfId="0" applyFont="1" applyBorder="1"/>
    <xf numFmtId="0" fontId="4" fillId="0" borderId="69" xfId="0" applyFont="1" applyBorder="1" applyAlignment="1">
      <alignment horizontal="right"/>
    </xf>
    <xf numFmtId="0" fontId="5" fillId="0" borderId="69" xfId="0" applyFont="1" applyBorder="1" applyAlignment="1">
      <alignment horizontal="left"/>
    </xf>
    <xf numFmtId="0" fontId="3" fillId="0" borderId="63" xfId="0" applyFont="1" applyBorder="1"/>
    <xf numFmtId="0" fontId="30" fillId="0" borderId="41" xfId="0" applyFont="1" applyBorder="1"/>
    <xf numFmtId="0" fontId="30" fillId="0" borderId="0" xfId="0" applyFont="1"/>
    <xf numFmtId="0" fontId="3" fillId="0" borderId="41" xfId="0" applyFont="1" applyBorder="1"/>
    <xf numFmtId="0" fontId="14" fillId="0" borderId="0" xfId="0" applyFont="1" applyAlignment="1">
      <alignment horizontal="center"/>
    </xf>
    <xf numFmtId="0" fontId="0" fillId="0" borderId="1" xfId="0" applyBorder="1"/>
    <xf numFmtId="164" fontId="36" fillId="6" borderId="37" xfId="1" applyNumberFormat="1" applyFont="1" applyFill="1" applyBorder="1" applyAlignment="1">
      <alignment horizontal="center" vertical="center"/>
    </xf>
    <xf numFmtId="164" fontId="36" fillId="6" borderId="38" xfId="1" applyNumberFormat="1" applyFont="1" applyFill="1" applyBorder="1" applyAlignment="1">
      <alignment horizontal="center" vertical="center"/>
    </xf>
    <xf numFmtId="0" fontId="9" fillId="7" borderId="15" xfId="0" applyFont="1" applyFill="1" applyBorder="1" applyAlignment="1">
      <alignment horizontal="center" vertical="center" wrapText="1"/>
    </xf>
    <xf numFmtId="1" fontId="20" fillId="7" borderId="48" xfId="0" applyNumberFormat="1" applyFont="1" applyFill="1" applyBorder="1" applyAlignment="1">
      <alignment horizontal="center" vertical="center" wrapText="1"/>
    </xf>
    <xf numFmtId="164" fontId="20" fillId="7" borderId="48" xfId="0" applyNumberFormat="1" applyFont="1" applyFill="1" applyBorder="1" applyAlignment="1">
      <alignment horizontal="center" vertical="center" wrapText="1"/>
    </xf>
    <xf numFmtId="0" fontId="9" fillId="6" borderId="25" xfId="0" applyFont="1" applyFill="1" applyBorder="1" applyAlignment="1" applyProtection="1">
      <alignment horizontal="center" vertical="center" wrapText="1"/>
      <protection locked="0"/>
    </xf>
    <xf numFmtId="0" fontId="9" fillId="8" borderId="27" xfId="0" applyFont="1" applyFill="1" applyBorder="1" applyAlignment="1" applyProtection="1">
      <alignment horizontal="center" vertical="center" wrapText="1"/>
      <protection locked="0"/>
    </xf>
    <xf numFmtId="0" fontId="9" fillId="8" borderId="15" xfId="0" applyFont="1" applyFill="1" applyBorder="1" applyAlignment="1" applyProtection="1">
      <alignment horizontal="center" vertical="center" wrapText="1"/>
      <protection locked="0"/>
    </xf>
    <xf numFmtId="164" fontId="37" fillId="0" borderId="36" xfId="1" applyNumberFormat="1" applyFont="1" applyBorder="1" applyAlignment="1">
      <alignment horizontal="center" vertical="center"/>
    </xf>
    <xf numFmtId="164" fontId="37" fillId="0" borderId="1" xfId="1" applyNumberFormat="1" applyFont="1" applyBorder="1" applyAlignment="1">
      <alignment horizontal="center" vertical="center"/>
    </xf>
    <xf numFmtId="164" fontId="37" fillId="0" borderId="15" xfId="1" applyNumberFormat="1" applyFont="1" applyBorder="1" applyAlignment="1">
      <alignment horizontal="center" vertical="center"/>
    </xf>
    <xf numFmtId="0" fontId="3" fillId="9" borderId="0" xfId="0" applyFont="1" applyFill="1" applyAlignment="1">
      <alignment horizontal="center" vertical="center"/>
    </xf>
    <xf numFmtId="0" fontId="11" fillId="0" borderId="23" xfId="0" applyFont="1" applyBorder="1" applyAlignment="1">
      <alignment horizontal="center"/>
    </xf>
    <xf numFmtId="0" fontId="5" fillId="0" borderId="39" xfId="0" applyFont="1" applyBorder="1" applyAlignment="1">
      <alignment horizontal="center" vertical="center"/>
    </xf>
    <xf numFmtId="0" fontId="3" fillId="0" borderId="1" xfId="0" applyFont="1" applyBorder="1" applyAlignment="1">
      <alignment horizontal="center" vertical="center"/>
    </xf>
    <xf numFmtId="0" fontId="5" fillId="8" borderId="27" xfId="0" applyFont="1" applyFill="1" applyBorder="1" applyAlignment="1" applyProtection="1">
      <alignment horizontal="center" vertical="center" wrapText="1"/>
      <protection locked="0"/>
    </xf>
    <xf numFmtId="0" fontId="5" fillId="8" borderId="20" xfId="0" applyFont="1" applyFill="1" applyBorder="1" applyAlignment="1" applyProtection="1">
      <alignment horizontal="center" vertical="center" wrapText="1"/>
      <protection locked="0"/>
    </xf>
    <xf numFmtId="0" fontId="0" fillId="0" borderId="26" xfId="0" applyBorder="1" applyAlignment="1" applyProtection="1">
      <alignment horizontal="center" vertical="center"/>
      <protection locked="0"/>
    </xf>
    <xf numFmtId="0" fontId="0" fillId="8" borderId="46" xfId="0" applyFill="1" applyBorder="1" applyAlignment="1" applyProtection="1">
      <alignment horizontal="center" vertical="center" wrapText="1"/>
      <protection locked="0"/>
    </xf>
    <xf numFmtId="0" fontId="0" fillId="8" borderId="20" xfId="0" applyFill="1" applyBorder="1" applyAlignment="1" applyProtection="1">
      <alignment horizontal="center" vertical="center" wrapText="1"/>
      <protection locked="0"/>
    </xf>
    <xf numFmtId="0" fontId="3" fillId="0" borderId="0" xfId="0" applyFont="1" applyAlignment="1">
      <alignment horizontal="center" vertical="center"/>
    </xf>
    <xf numFmtId="0" fontId="0" fillId="10" borderId="16" xfId="0" applyFill="1" applyBorder="1" applyAlignment="1" applyProtection="1">
      <alignment horizontal="center" vertical="center"/>
      <protection locked="0"/>
    </xf>
    <xf numFmtId="0" fontId="0" fillId="10" borderId="1" xfId="0" applyFill="1" applyBorder="1" applyAlignment="1" applyProtection="1">
      <alignment horizontal="center" vertical="center"/>
      <protection locked="0"/>
    </xf>
    <xf numFmtId="0" fontId="0" fillId="10" borderId="15" xfId="0" applyFill="1" applyBorder="1" applyAlignment="1" applyProtection="1">
      <alignment horizontal="center" vertical="center"/>
      <protection locked="0"/>
    </xf>
    <xf numFmtId="0" fontId="0" fillId="10" borderId="36" xfId="0" applyFill="1" applyBorder="1" applyAlignment="1" applyProtection="1">
      <alignment horizontal="center" vertical="center"/>
      <protection locked="0"/>
    </xf>
    <xf numFmtId="0" fontId="0" fillId="10" borderId="19" xfId="0" applyFill="1" applyBorder="1" applyAlignment="1" applyProtection="1">
      <alignment horizontal="center" vertical="center"/>
      <protection locked="0"/>
    </xf>
    <xf numFmtId="0" fontId="14" fillId="10" borderId="74" xfId="0" applyFont="1" applyFill="1" applyBorder="1"/>
    <xf numFmtId="0" fontId="14" fillId="10" borderId="75" xfId="0" applyFont="1" applyFill="1" applyBorder="1" applyAlignment="1">
      <alignment horizontal="left"/>
    </xf>
    <xf numFmtId="0" fontId="14" fillId="10" borderId="70" xfId="0" applyFont="1" applyFill="1" applyBorder="1" applyAlignment="1">
      <alignment horizontal="left"/>
    </xf>
    <xf numFmtId="0" fontId="14" fillId="10" borderId="70" xfId="0" applyFont="1" applyFill="1" applyBorder="1"/>
    <xf numFmtId="0" fontId="3" fillId="10" borderId="76" xfId="0" applyFont="1" applyFill="1" applyBorder="1" applyAlignment="1">
      <alignment horizontal="right"/>
    </xf>
    <xf numFmtId="0" fontId="14" fillId="10" borderId="77" xfId="0" applyFont="1" applyFill="1" applyBorder="1" applyAlignment="1">
      <alignment horizontal="left"/>
    </xf>
    <xf numFmtId="0" fontId="14" fillId="10" borderId="77" xfId="0" applyFont="1" applyFill="1" applyBorder="1"/>
    <xf numFmtId="0" fontId="14" fillId="10" borderId="79" xfId="0" applyFont="1" applyFill="1" applyBorder="1" applyAlignment="1">
      <alignment horizontal="left"/>
    </xf>
    <xf numFmtId="0" fontId="14" fillId="10" borderId="80" xfId="0" applyFont="1" applyFill="1" applyBorder="1" applyAlignment="1">
      <alignment horizontal="left"/>
    </xf>
    <xf numFmtId="0" fontId="14" fillId="10" borderId="80" xfId="0" applyFont="1" applyFill="1" applyBorder="1" applyAlignment="1">
      <alignment horizontal="right"/>
    </xf>
    <xf numFmtId="0" fontId="0" fillId="10" borderId="74" xfId="0" applyFill="1" applyBorder="1"/>
    <xf numFmtId="0" fontId="0" fillId="10" borderId="80" xfId="0" applyFill="1" applyBorder="1" applyAlignment="1">
      <alignment horizontal="center"/>
    </xf>
    <xf numFmtId="0" fontId="0" fillId="10" borderId="80" xfId="0" applyFill="1" applyBorder="1"/>
    <xf numFmtId="0" fontId="14" fillId="10" borderId="81" xfId="0" applyFont="1" applyFill="1" applyBorder="1" applyAlignment="1">
      <alignment horizontal="left"/>
    </xf>
    <xf numFmtId="0" fontId="3" fillId="10" borderId="74" xfId="0" applyFont="1" applyFill="1" applyBorder="1" applyAlignment="1">
      <alignment horizontal="left"/>
    </xf>
    <xf numFmtId="0" fontId="14" fillId="10" borderId="74" xfId="0" applyFont="1" applyFill="1" applyBorder="1" applyAlignment="1">
      <alignment horizontal="center"/>
    </xf>
    <xf numFmtId="0" fontId="14" fillId="10" borderId="80" xfId="0" applyFont="1" applyFill="1" applyBorder="1" applyAlignment="1">
      <alignment horizontal="center"/>
    </xf>
    <xf numFmtId="0" fontId="14" fillId="10" borderId="74" xfId="0" applyFont="1" applyFill="1" applyBorder="1" applyAlignment="1">
      <alignment horizontal="left"/>
    </xf>
    <xf numFmtId="0" fontId="18" fillId="0" borderId="23" xfId="0" applyFont="1" applyBorder="1" applyAlignment="1">
      <alignment horizontal="center" vertical="center"/>
    </xf>
    <xf numFmtId="0" fontId="18" fillId="5" borderId="82" xfId="0" applyFont="1" applyFill="1" applyBorder="1" applyAlignment="1">
      <alignment horizontal="center" vertical="center"/>
    </xf>
    <xf numFmtId="0" fontId="3" fillId="11" borderId="1" xfId="0" applyFont="1" applyFill="1" applyBorder="1" applyAlignment="1" applyProtection="1">
      <alignment horizontal="center" vertical="center"/>
      <protection locked="0"/>
    </xf>
    <xf numFmtId="0" fontId="3" fillId="11" borderId="57" xfId="0" applyFont="1" applyFill="1" applyBorder="1" applyAlignment="1" applyProtection="1">
      <alignment horizontal="center" vertical="center"/>
      <protection locked="0"/>
    </xf>
    <xf numFmtId="0" fontId="3" fillId="10" borderId="16" xfId="0" applyFont="1" applyFill="1" applyBorder="1" applyAlignment="1">
      <alignment horizontal="center" vertical="center"/>
    </xf>
    <xf numFmtId="0" fontId="3" fillId="10" borderId="11"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16" xfId="0" applyFont="1" applyFill="1" applyBorder="1" applyAlignment="1">
      <alignment horizontal="center" vertical="center"/>
    </xf>
    <xf numFmtId="0" fontId="3" fillId="11" borderId="17" xfId="0" applyFont="1" applyFill="1" applyBorder="1" applyAlignment="1" applyProtection="1">
      <alignment horizontal="center" vertical="center"/>
      <protection locked="0"/>
    </xf>
    <xf numFmtId="0" fontId="3" fillId="11" borderId="1" xfId="0" applyFont="1" applyFill="1" applyBorder="1" applyAlignment="1">
      <alignment horizontal="center" vertical="center"/>
    </xf>
    <xf numFmtId="0" fontId="3" fillId="11" borderId="15" xfId="0" applyFont="1" applyFill="1" applyBorder="1" applyAlignment="1">
      <alignment horizontal="center" vertical="center"/>
    </xf>
    <xf numFmtId="0" fontId="14" fillId="10" borderId="74" xfId="0" applyFont="1" applyFill="1" applyBorder="1" applyAlignment="1">
      <alignment horizontal="right"/>
    </xf>
    <xf numFmtId="0" fontId="14" fillId="10" borderId="81" xfId="0" applyFont="1" applyFill="1" applyBorder="1"/>
    <xf numFmtId="0" fontId="14" fillId="10" borderId="79" xfId="0" applyFont="1" applyFill="1" applyBorder="1"/>
    <xf numFmtId="0" fontId="3" fillId="10" borderId="63" xfId="0" applyFont="1" applyFill="1" applyBorder="1"/>
    <xf numFmtId="0" fontId="3" fillId="10" borderId="69" xfId="0" applyFont="1" applyFill="1" applyBorder="1" applyAlignment="1">
      <alignment horizontal="right"/>
    </xf>
    <xf numFmtId="0" fontId="3" fillId="10" borderId="44" xfId="0" applyFont="1" applyFill="1" applyBorder="1"/>
    <xf numFmtId="165" fontId="3" fillId="10" borderId="70" xfId="0" applyNumberFormat="1" applyFont="1" applyFill="1" applyBorder="1"/>
    <xf numFmtId="0" fontId="3" fillId="10" borderId="70" xfId="0" applyFont="1" applyFill="1" applyBorder="1" applyAlignment="1">
      <alignment horizontal="right"/>
    </xf>
    <xf numFmtId="0" fontId="0" fillId="10" borderId="80" xfId="0" applyFill="1" applyBorder="1" applyAlignment="1">
      <alignment horizontal="left"/>
    </xf>
    <xf numFmtId="0" fontId="1" fillId="10" borderId="74" xfId="0" applyFont="1" applyFill="1" applyBorder="1"/>
    <xf numFmtId="0" fontId="22" fillId="10" borderId="80" xfId="0" applyFont="1" applyFill="1" applyBorder="1"/>
    <xf numFmtId="0" fontId="14" fillId="10" borderId="80" xfId="0" applyFont="1" applyFill="1" applyBorder="1"/>
    <xf numFmtId="0" fontId="0" fillId="10" borderId="80" xfId="0" applyFill="1" applyBorder="1" applyAlignment="1">
      <alignment horizontal="right"/>
    </xf>
    <xf numFmtId="0" fontId="3" fillId="5" borderId="50" xfId="0" applyFont="1" applyFill="1" applyBorder="1" applyAlignment="1">
      <alignment horizontal="center" vertical="center"/>
    </xf>
    <xf numFmtId="0" fontId="7" fillId="5" borderId="84" xfId="0" applyFont="1" applyFill="1" applyBorder="1" applyAlignment="1">
      <alignment horizontal="center" vertical="center"/>
    </xf>
    <xf numFmtId="0" fontId="5" fillId="10" borderId="36" xfId="0" applyFont="1" applyFill="1" applyBorder="1" applyAlignment="1">
      <alignment horizontal="center" vertical="center"/>
    </xf>
    <xf numFmtId="0" fontId="7" fillId="10" borderId="39" xfId="0" applyFont="1" applyFill="1" applyBorder="1" applyAlignment="1" applyProtection="1">
      <alignment horizontal="center" vertical="center" wrapText="1"/>
      <protection locked="0"/>
    </xf>
    <xf numFmtId="0" fontId="7" fillId="10" borderId="26" xfId="0" applyFont="1" applyFill="1" applyBorder="1" applyAlignment="1" applyProtection="1">
      <alignment horizontal="center" vertical="center" wrapText="1"/>
      <protection locked="0"/>
    </xf>
    <xf numFmtId="0" fontId="3" fillId="10" borderId="49"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47" xfId="0" applyFont="1" applyBorder="1" applyAlignment="1" applyProtection="1">
      <alignment horizontal="center" vertical="center" wrapText="1"/>
      <protection locked="0"/>
    </xf>
    <xf numFmtId="0" fontId="3" fillId="0" borderId="49"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wrapText="1"/>
      <protection locked="0"/>
    </xf>
    <xf numFmtId="0" fontId="3" fillId="10" borderId="65" xfId="0" applyFont="1" applyFill="1" applyBorder="1" applyAlignment="1" applyProtection="1">
      <alignment horizontal="center"/>
      <protection locked="0"/>
    </xf>
    <xf numFmtId="0" fontId="3" fillId="10" borderId="26" xfId="0" applyFont="1" applyFill="1" applyBorder="1" applyAlignment="1" applyProtection="1">
      <alignment horizontal="center"/>
      <protection locked="0"/>
    </xf>
    <xf numFmtId="0" fontId="9" fillId="0" borderId="15" xfId="0" applyFont="1" applyBorder="1" applyAlignment="1" applyProtection="1">
      <alignment horizontal="center" vertical="center" wrapText="1"/>
      <protection locked="0"/>
    </xf>
    <xf numFmtId="0" fontId="3" fillId="11" borderId="44" xfId="0" applyFont="1" applyFill="1" applyBorder="1" applyAlignment="1">
      <alignment horizontal="center" vertical="center" wrapText="1"/>
    </xf>
    <xf numFmtId="0" fontId="3" fillId="11" borderId="47" xfId="0" applyFont="1" applyFill="1" applyBorder="1" applyAlignment="1">
      <alignment horizontal="center" vertical="center" wrapText="1"/>
    </xf>
    <xf numFmtId="0" fontId="3" fillId="11" borderId="49" xfId="0" applyFont="1" applyFill="1" applyBorder="1" applyAlignment="1">
      <alignment horizontal="center" vertical="center" wrapText="1"/>
    </xf>
    <xf numFmtId="0" fontId="3" fillId="11" borderId="54" xfId="0" applyFont="1" applyFill="1" applyBorder="1" applyAlignment="1">
      <alignment horizontal="center" vertical="center" wrapText="1"/>
    </xf>
    <xf numFmtId="0" fontId="3" fillId="11" borderId="22" xfId="0" applyFont="1" applyFill="1" applyBorder="1" applyAlignment="1">
      <alignment horizontal="center" vertical="center" wrapText="1"/>
    </xf>
    <xf numFmtId="0" fontId="3" fillId="11" borderId="24" xfId="0" applyFont="1" applyFill="1" applyBorder="1" applyAlignment="1">
      <alignment horizontal="center" vertical="center" wrapText="1"/>
    </xf>
    <xf numFmtId="0" fontId="3" fillId="11" borderId="50" xfId="0" applyFont="1" applyFill="1" applyBorder="1" applyAlignment="1">
      <alignment horizontal="center" vertical="center" wrapText="1"/>
    </xf>
    <xf numFmtId="0" fontId="3" fillId="11" borderId="84"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19" fillId="11" borderId="84" xfId="1" applyFill="1" applyBorder="1" applyAlignment="1" applyProtection="1">
      <alignment horizontal="center" vertical="center" wrapText="1"/>
      <protection locked="0"/>
    </xf>
    <xf numFmtId="0" fontId="19" fillId="11" borderId="65" xfId="1" applyFill="1" applyBorder="1" applyAlignment="1" applyProtection="1">
      <alignment horizontal="center" vertical="center"/>
      <protection locked="0"/>
    </xf>
    <xf numFmtId="0" fontId="19" fillId="11" borderId="14" xfId="1" applyFill="1" applyBorder="1" applyAlignment="1" applyProtection="1">
      <alignment horizontal="center" vertical="center"/>
      <protection locked="0"/>
    </xf>
    <xf numFmtId="0" fontId="19" fillId="11" borderId="17" xfId="1" applyFill="1" applyBorder="1" applyAlignment="1" applyProtection="1">
      <alignment horizontal="center" vertical="center"/>
      <protection locked="0"/>
    </xf>
    <xf numFmtId="0" fontId="3" fillId="11" borderId="43" xfId="0" applyFont="1" applyFill="1" applyBorder="1" applyAlignment="1">
      <alignment horizontal="center" vertical="center" wrapText="1"/>
    </xf>
    <xf numFmtId="0" fontId="38" fillId="5" borderId="51" xfId="0" applyFont="1" applyFill="1" applyBorder="1" applyAlignment="1">
      <alignment horizontal="center" vertical="center" wrapText="1"/>
    </xf>
    <xf numFmtId="0" fontId="38" fillId="5" borderId="50" xfId="0" applyFont="1" applyFill="1" applyBorder="1" applyAlignment="1">
      <alignment horizontal="center" vertical="center" wrapText="1"/>
    </xf>
    <xf numFmtId="0" fontId="38" fillId="5" borderId="83" xfId="0" applyFont="1" applyFill="1" applyBorder="1" applyAlignment="1">
      <alignment horizontal="center" vertical="center" wrapText="1"/>
    </xf>
    <xf numFmtId="0" fontId="3" fillId="14" borderId="17" xfId="0" applyFont="1" applyFill="1" applyBorder="1" applyAlignment="1">
      <alignment horizontal="center" vertical="center"/>
    </xf>
    <xf numFmtId="0" fontId="18" fillId="0" borderId="0" xfId="0" applyFont="1" applyAlignment="1">
      <alignment horizontal="center" vertical="center"/>
    </xf>
    <xf numFmtId="0" fontId="23" fillId="0" borderId="63" xfId="0" applyFont="1" applyBorder="1"/>
    <xf numFmtId="0" fontId="0" fillId="0" borderId="69" xfId="0" applyBorder="1"/>
    <xf numFmtId="0" fontId="18" fillId="0" borderId="69" xfId="0" applyFont="1" applyBorder="1" applyAlignment="1">
      <alignment horizontal="center"/>
    </xf>
    <xf numFmtId="0" fontId="18" fillId="11" borderId="31" xfId="0" quotePrefix="1" applyFont="1" applyFill="1" applyBorder="1" applyAlignment="1">
      <alignment horizontal="center"/>
    </xf>
    <xf numFmtId="0" fontId="23" fillId="0" borderId="41" xfId="0" applyFont="1" applyBorder="1"/>
    <xf numFmtId="0" fontId="0" fillId="0" borderId="71" xfId="0" applyBorder="1"/>
    <xf numFmtId="0" fontId="23" fillId="0" borderId="44" xfId="0" applyFont="1" applyBorder="1"/>
    <xf numFmtId="0" fontId="0" fillId="0" borderId="70" xfId="0" applyBorder="1"/>
    <xf numFmtId="0" fontId="0" fillId="0" borderId="27" xfId="0" applyBorder="1"/>
    <xf numFmtId="0" fontId="5" fillId="11" borderId="14" xfId="0" applyFont="1" applyFill="1" applyBorder="1" applyAlignment="1">
      <alignment horizontal="center" vertical="center"/>
    </xf>
    <xf numFmtId="0" fontId="23" fillId="0" borderId="0" xfId="0" applyFont="1" applyAlignment="1">
      <alignment horizontal="right" vertical="center"/>
    </xf>
    <xf numFmtId="0" fontId="1" fillId="0" borderId="0" xfId="0" applyFont="1"/>
    <xf numFmtId="0" fontId="4" fillId="5" borderId="44" xfId="0" applyFont="1" applyFill="1" applyBorder="1" applyAlignment="1">
      <alignment horizontal="center" vertical="center"/>
    </xf>
    <xf numFmtId="0" fontId="1" fillId="7" borderId="61" xfId="0" applyFont="1" applyFill="1" applyBorder="1" applyAlignment="1">
      <alignment horizontal="center" vertical="center"/>
    </xf>
    <xf numFmtId="0" fontId="23" fillId="0" borderId="140" xfId="0" applyFont="1" applyBorder="1" applyAlignment="1">
      <alignment horizontal="center" vertical="center"/>
    </xf>
    <xf numFmtId="0" fontId="3" fillId="0" borderId="44" xfId="0" applyFont="1" applyBorder="1" applyAlignment="1" applyProtection="1">
      <alignment horizontal="center" vertical="center" wrapText="1"/>
      <protection locked="0"/>
    </xf>
    <xf numFmtId="0" fontId="3" fillId="0" borderId="63" xfId="0" applyFont="1" applyBorder="1" applyAlignment="1" applyProtection="1">
      <alignment horizontal="center" vertical="center" wrapText="1"/>
      <protection locked="0"/>
    </xf>
    <xf numFmtId="0" fontId="1" fillId="10" borderId="70" xfId="0" applyFont="1" applyFill="1" applyBorder="1" applyAlignment="1">
      <alignment horizontal="left"/>
    </xf>
    <xf numFmtId="0" fontId="1" fillId="4" borderId="36" xfId="1" applyFont="1" applyFill="1" applyBorder="1" applyAlignment="1" applyProtection="1">
      <alignment horizontal="center"/>
      <protection locked="0"/>
    </xf>
    <xf numFmtId="0" fontId="1" fillId="4" borderId="27" xfId="1" applyFont="1" applyFill="1" applyBorder="1" applyAlignment="1" applyProtection="1">
      <alignment horizontal="center"/>
      <protection locked="0"/>
    </xf>
    <xf numFmtId="0" fontId="1" fillId="4" borderId="1" xfId="1" applyFont="1" applyFill="1" applyBorder="1" applyAlignment="1" applyProtection="1">
      <alignment horizontal="center"/>
      <protection locked="0"/>
    </xf>
    <xf numFmtId="0" fontId="1" fillId="4" borderId="46" xfId="1" applyFont="1" applyFill="1" applyBorder="1" applyAlignment="1" applyProtection="1">
      <alignment horizontal="center"/>
      <protection locked="0"/>
    </xf>
    <xf numFmtId="0" fontId="1" fillId="4" borderId="36" xfId="1" applyFont="1" applyFill="1" applyBorder="1" applyAlignment="1" applyProtection="1">
      <alignment horizontal="center" vertical="center"/>
      <protection locked="0"/>
    </xf>
    <xf numFmtId="0" fontId="1" fillId="4" borderId="1" xfId="1" applyFont="1" applyFill="1" applyBorder="1" applyAlignment="1" applyProtection="1">
      <alignment horizontal="center" vertical="center"/>
      <protection locked="0"/>
    </xf>
    <xf numFmtId="164" fontId="1" fillId="4" borderId="36" xfId="1" applyNumberFormat="1" applyFont="1" applyFill="1" applyBorder="1" applyAlignment="1" applyProtection="1">
      <alignment horizontal="center" vertical="center"/>
      <protection locked="0"/>
    </xf>
    <xf numFmtId="0" fontId="1" fillId="0" borderId="0" xfId="3"/>
    <xf numFmtId="0" fontId="4" fillId="0" borderId="140" xfId="4" applyFont="1" applyBorder="1" applyAlignment="1">
      <alignment horizontal="center" vertical="center"/>
    </xf>
    <xf numFmtId="0" fontId="4" fillId="0" borderId="108" xfId="4" applyFont="1" applyBorder="1" applyAlignment="1">
      <alignment horizontal="center" vertical="center"/>
    </xf>
    <xf numFmtId="0" fontId="1" fillId="0" borderId="0" xfId="3" applyAlignment="1">
      <alignment wrapText="1"/>
    </xf>
    <xf numFmtId="0" fontId="4" fillId="0" borderId="140" xfId="3" applyFont="1" applyBorder="1" applyAlignment="1">
      <alignment horizontal="center" vertical="center"/>
    </xf>
    <xf numFmtId="0" fontId="14" fillId="10" borderId="80" xfId="3" applyFont="1" applyFill="1" applyBorder="1" applyAlignment="1">
      <alignment horizontal="right"/>
    </xf>
    <xf numFmtId="0" fontId="1" fillId="10" borderId="80" xfId="3" applyFill="1" applyBorder="1" applyAlignment="1">
      <alignment horizontal="left"/>
    </xf>
    <xf numFmtId="0" fontId="14" fillId="10" borderId="80" xfId="3" applyFont="1" applyFill="1" applyBorder="1" applyAlignment="1">
      <alignment horizontal="left"/>
    </xf>
    <xf numFmtId="0" fontId="14" fillId="10" borderId="79" xfId="3" applyFont="1" applyFill="1" applyBorder="1" applyAlignment="1">
      <alignment horizontal="left"/>
    </xf>
    <xf numFmtId="0" fontId="14" fillId="10" borderId="74" xfId="3" applyFont="1" applyFill="1" applyBorder="1"/>
    <xf numFmtId="0" fontId="1" fillId="10" borderId="74" xfId="3" applyFill="1" applyBorder="1" applyAlignment="1">
      <alignment horizontal="left"/>
    </xf>
    <xf numFmtId="15" fontId="1" fillId="10" borderId="74" xfId="3" applyNumberFormat="1" applyFill="1" applyBorder="1" applyAlignment="1">
      <alignment horizontal="left"/>
    </xf>
    <xf numFmtId="0" fontId="4" fillId="0" borderId="142" xfId="4" applyFont="1" applyBorder="1" applyAlignment="1">
      <alignment horizontal="center" vertical="center" wrapText="1"/>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5" fillId="0" borderId="17" xfId="0" applyFont="1" applyBorder="1" applyAlignment="1">
      <alignment horizontal="center" vertical="center"/>
    </xf>
    <xf numFmtId="0" fontId="9" fillId="10" borderId="1" xfId="0" applyFont="1" applyFill="1" applyBorder="1" applyAlignment="1">
      <alignment horizontal="center" vertical="center"/>
    </xf>
    <xf numFmtId="0" fontId="5" fillId="0" borderId="13" xfId="0" applyFont="1" applyBorder="1" applyAlignment="1">
      <alignment horizontal="center" vertical="center"/>
    </xf>
    <xf numFmtId="0" fontId="9" fillId="10" borderId="15" xfId="0" applyFont="1" applyFill="1" applyBorder="1" applyAlignment="1">
      <alignment horizontal="center" vertical="center"/>
    </xf>
    <xf numFmtId="0" fontId="1" fillId="0" borderId="20"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11" fillId="10" borderId="1" xfId="0" applyFont="1" applyFill="1" applyBorder="1" applyAlignment="1">
      <alignment horizontal="center"/>
    </xf>
    <xf numFmtId="164" fontId="0" fillId="0" borderId="16"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locked="0"/>
    </xf>
    <xf numFmtId="164" fontId="0" fillId="0" borderId="15" xfId="0" applyNumberFormat="1" applyBorder="1" applyAlignment="1" applyProtection="1">
      <alignment horizontal="center" vertical="center"/>
      <protection locked="0"/>
    </xf>
    <xf numFmtId="164" fontId="0" fillId="0" borderId="36" xfId="0" applyNumberFormat="1" applyBorder="1" applyAlignment="1" applyProtection="1">
      <alignment horizontal="center" vertical="center"/>
      <protection locked="0"/>
    </xf>
    <xf numFmtId="164" fontId="0" fillId="0" borderId="19" xfId="0" applyNumberForma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0" fillId="0" borderId="46" xfId="0" applyBorder="1" applyAlignment="1" applyProtection="1">
      <alignment horizontal="center" vertical="center" wrapText="1"/>
      <protection locked="0"/>
    </xf>
    <xf numFmtId="0" fontId="10" fillId="0" borderId="6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39" xfId="0" applyFont="1" applyBorder="1" applyAlignment="1">
      <alignment horizontal="center" vertical="center" wrapText="1"/>
    </xf>
    <xf numFmtId="0" fontId="1" fillId="0" borderId="14" xfId="0" applyFont="1" applyBorder="1" applyAlignment="1">
      <alignment horizontal="center" vertical="center"/>
    </xf>
    <xf numFmtId="0" fontId="1" fillId="0" borderId="39" xfId="0" applyFont="1" applyBorder="1" applyAlignment="1" applyProtection="1">
      <alignment horizontal="center" vertical="center"/>
      <protection locked="0"/>
    </xf>
    <xf numFmtId="0" fontId="1" fillId="11" borderId="36" xfId="0" applyFont="1" applyFill="1" applyBorder="1" applyAlignment="1" applyProtection="1">
      <alignment horizontal="center" vertical="center"/>
      <protection hidden="1"/>
    </xf>
    <xf numFmtId="164" fontId="26" fillId="6" borderId="44" xfId="1" applyNumberFormat="1" applyFont="1" applyFill="1" applyBorder="1" applyAlignment="1">
      <alignment horizontal="center" vertical="center"/>
    </xf>
    <xf numFmtId="0" fontId="1" fillId="0" borderId="1"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0" fillId="0" borderId="39" xfId="0" applyBorder="1" applyAlignment="1" applyProtection="1">
      <alignment horizontal="center" vertical="center"/>
      <protection locked="0"/>
    </xf>
    <xf numFmtId="0" fontId="0" fillId="0" borderId="103" xfId="0" applyBorder="1" applyAlignment="1" applyProtection="1">
      <alignment horizontal="center" vertical="center"/>
      <protection locked="0"/>
    </xf>
    <xf numFmtId="0" fontId="0" fillId="0" borderId="64" xfId="0" applyBorder="1" applyAlignment="1" applyProtection="1">
      <alignment horizontal="center" vertical="center" wrapText="1"/>
      <protection locked="0"/>
    </xf>
    <xf numFmtId="0" fontId="0" fillId="0" borderId="13" xfId="0" applyBorder="1" applyAlignment="1" applyProtection="1">
      <alignment horizontal="center" vertical="center"/>
      <protection locked="0"/>
    </xf>
    <xf numFmtId="0" fontId="0" fillId="0" borderId="48" xfId="0" applyBorder="1" applyAlignment="1" applyProtection="1">
      <alignment horizontal="center" vertical="center" wrapText="1"/>
      <protection locked="0"/>
    </xf>
    <xf numFmtId="164" fontId="0" fillId="10" borderId="16" xfId="0" applyNumberFormat="1" applyFill="1" applyBorder="1" applyAlignment="1">
      <alignment horizontal="center" vertical="center"/>
    </xf>
    <xf numFmtId="164" fontId="0" fillId="10" borderId="11" xfId="0" applyNumberFormat="1" applyFill="1" applyBorder="1" applyAlignment="1">
      <alignment horizontal="center" vertical="center"/>
    </xf>
    <xf numFmtId="164" fontId="0" fillId="10" borderId="1" xfId="0" applyNumberFormat="1" applyFill="1" applyBorder="1" applyAlignment="1">
      <alignment horizontal="center" vertical="center"/>
    </xf>
    <xf numFmtId="164" fontId="0" fillId="10" borderId="57" xfId="0" applyNumberFormat="1" applyFill="1" applyBorder="1" applyAlignment="1">
      <alignment horizontal="center" vertical="center"/>
    </xf>
    <xf numFmtId="0" fontId="1" fillId="0" borderId="1" xfId="0" applyFont="1" applyBorder="1" applyAlignment="1" applyProtection="1">
      <alignment vertical="center" wrapText="1"/>
      <protection locked="0"/>
    </xf>
    <xf numFmtId="0" fontId="1" fillId="0" borderId="27" xfId="0" applyFont="1" applyBorder="1" applyAlignment="1" applyProtection="1">
      <alignment vertical="center" wrapText="1"/>
      <protection locked="0"/>
    </xf>
    <xf numFmtId="164" fontId="0" fillId="10" borderId="15" xfId="0" applyNumberFormat="1" applyFill="1" applyBorder="1" applyAlignment="1">
      <alignment horizontal="center" vertical="center"/>
    </xf>
    <xf numFmtId="164" fontId="0" fillId="10" borderId="38" xfId="0" applyNumberFormat="1" applyFill="1" applyBorder="1" applyAlignment="1">
      <alignment horizontal="center" vertical="center"/>
    </xf>
    <xf numFmtId="0" fontId="19" fillId="13" borderId="0" xfId="1" applyFill="1" applyAlignment="1">
      <alignment horizontal="center" vertical="center"/>
    </xf>
    <xf numFmtId="0" fontId="1" fillId="4" borderId="46" xfId="1" applyFont="1" applyFill="1" applyBorder="1" applyAlignment="1" applyProtection="1">
      <alignment horizontal="center" vertical="center"/>
      <protection locked="0"/>
    </xf>
    <xf numFmtId="0" fontId="1" fillId="4" borderId="15" xfId="1" applyFont="1" applyFill="1" applyBorder="1" applyAlignment="1" applyProtection="1">
      <alignment horizontal="center"/>
      <protection locked="0"/>
    </xf>
    <xf numFmtId="0" fontId="1" fillId="4" borderId="48" xfId="1" applyFont="1" applyFill="1" applyBorder="1" applyAlignment="1" applyProtection="1">
      <alignment horizontal="center"/>
      <protection locked="0"/>
    </xf>
    <xf numFmtId="0" fontId="11" fillId="0" borderId="0" xfId="0" applyFont="1" applyAlignment="1">
      <alignment horizontal="center"/>
    </xf>
    <xf numFmtId="0" fontId="1" fillId="0" borderId="47" xfId="0" applyFont="1" applyBorder="1" applyAlignment="1">
      <alignment horizontal="center" vertical="center" wrapText="1"/>
    </xf>
    <xf numFmtId="0" fontId="1" fillId="0" borderId="16" xfId="0" applyFont="1" applyBorder="1" applyAlignment="1">
      <alignment horizontal="center" vertical="center" wrapText="1"/>
    </xf>
    <xf numFmtId="0" fontId="1" fillId="8" borderId="47" xfId="0" applyFont="1" applyFill="1" applyBorder="1" applyAlignment="1" applyProtection="1">
      <alignment horizontal="center" vertical="center" wrapText="1"/>
      <protection locked="0"/>
    </xf>
    <xf numFmtId="0" fontId="1" fillId="3" borderId="47" xfId="0" applyFont="1" applyFill="1" applyBorder="1" applyAlignment="1" applyProtection="1">
      <alignment horizontal="center" vertical="center"/>
      <protection locked="0"/>
    </xf>
    <xf numFmtId="0" fontId="1" fillId="10" borderId="74" xfId="0" applyFont="1" applyFill="1" applyBorder="1" applyAlignment="1">
      <alignment horizontal="left"/>
    </xf>
    <xf numFmtId="14" fontId="1" fillId="10" borderId="70" xfId="0" applyNumberFormat="1" applyFont="1" applyFill="1" applyBorder="1" applyAlignment="1">
      <alignment horizontal="left"/>
    </xf>
    <xf numFmtId="14" fontId="1" fillId="10" borderId="77" xfId="0" applyNumberFormat="1" applyFont="1" applyFill="1" applyBorder="1" applyAlignment="1">
      <alignment horizontal="left"/>
    </xf>
    <xf numFmtId="0" fontId="1" fillId="10" borderId="77" xfId="0" applyFont="1" applyFill="1" applyBorder="1" applyAlignment="1">
      <alignment horizontal="left"/>
    </xf>
    <xf numFmtId="15" fontId="1" fillId="10" borderId="74" xfId="0" applyNumberFormat="1" applyFont="1" applyFill="1" applyBorder="1" applyAlignment="1">
      <alignment horizontal="left"/>
    </xf>
    <xf numFmtId="0" fontId="1" fillId="10" borderId="80" xfId="0" applyFont="1" applyFill="1" applyBorder="1" applyAlignment="1">
      <alignment horizontal="left"/>
    </xf>
    <xf numFmtId="0" fontId="1" fillId="0" borderId="0" xfId="0" applyFont="1" applyAlignment="1">
      <alignment horizontal="right"/>
    </xf>
    <xf numFmtId="0" fontId="1" fillId="4" borderId="1" xfId="1" applyFont="1" applyFill="1" applyBorder="1"/>
    <xf numFmtId="0" fontId="11" fillId="5" borderId="52" xfId="0" applyFont="1" applyFill="1" applyBorder="1" applyAlignment="1">
      <alignment horizontal="center"/>
    </xf>
    <xf numFmtId="0" fontId="11" fillId="5" borderId="19" xfId="0" applyFont="1" applyFill="1" applyBorder="1" applyAlignment="1">
      <alignment horizontal="center"/>
    </xf>
    <xf numFmtId="0" fontId="11" fillId="5" borderId="53" xfId="0" applyFont="1" applyFill="1" applyBorder="1" applyAlignment="1">
      <alignment horizontal="center"/>
    </xf>
    <xf numFmtId="0" fontId="11" fillId="5" borderId="54" xfId="0" applyFont="1" applyFill="1" applyBorder="1" applyAlignment="1">
      <alignment horizontal="center"/>
    </xf>
    <xf numFmtId="0" fontId="11" fillId="5" borderId="36" xfId="0" applyFont="1" applyFill="1" applyBorder="1" applyAlignment="1">
      <alignment horizontal="center"/>
    </xf>
    <xf numFmtId="0" fontId="11" fillId="5" borderId="45" xfId="0" applyFont="1" applyFill="1" applyBorder="1" applyAlignment="1">
      <alignment horizontal="center"/>
    </xf>
    <xf numFmtId="0" fontId="11" fillId="0" borderId="22" xfId="0" applyFont="1" applyBorder="1" applyAlignment="1">
      <alignment horizontal="center"/>
    </xf>
    <xf numFmtId="0" fontId="1" fillId="5" borderId="39"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0" borderId="45" xfId="0" applyFont="1" applyBorder="1" applyAlignment="1">
      <alignment horizontal="center" vertical="center" wrapText="1"/>
    </xf>
    <xf numFmtId="0" fontId="1" fillId="5" borderId="26"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0" borderId="21" xfId="0" applyFont="1" applyBorder="1" applyAlignment="1">
      <alignment horizontal="center" vertical="center" wrapText="1"/>
    </xf>
    <xf numFmtId="0" fontId="1" fillId="10" borderId="64" xfId="0" applyFont="1" applyFill="1" applyBorder="1" applyAlignment="1">
      <alignment horizontal="left"/>
    </xf>
    <xf numFmtId="0" fontId="1" fillId="10" borderId="70" xfId="0" applyFont="1" applyFill="1" applyBorder="1"/>
    <xf numFmtId="0" fontId="1" fillId="10" borderId="27" xfId="0" applyFont="1" applyFill="1" applyBorder="1" applyAlignment="1">
      <alignment horizontal="left"/>
    </xf>
    <xf numFmtId="0" fontId="1" fillId="0" borderId="69" xfId="0" applyFont="1" applyBorder="1"/>
    <xf numFmtId="0" fontId="1" fillId="0" borderId="64" xfId="0" applyFont="1" applyBorder="1"/>
    <xf numFmtId="0" fontId="1" fillId="0" borderId="71" xfId="0" applyFont="1" applyBorder="1"/>
    <xf numFmtId="0" fontId="1" fillId="0" borderId="41" xfId="0" applyFont="1" applyBorder="1"/>
    <xf numFmtId="0" fontId="1" fillId="0" borderId="44" xfId="0" applyFont="1" applyBorder="1"/>
    <xf numFmtId="0" fontId="1" fillId="0" borderId="70" xfId="0" applyFont="1" applyBorder="1"/>
    <xf numFmtId="0" fontId="1" fillId="0" borderId="27" xfId="0" applyFont="1" applyBorder="1"/>
    <xf numFmtId="0" fontId="1" fillId="10" borderId="65" xfId="0" applyFont="1" applyFill="1" applyBorder="1" applyAlignment="1">
      <alignment horizontal="center" vertical="center" wrapText="1"/>
    </xf>
    <xf numFmtId="0" fontId="1" fillId="10" borderId="72" xfId="0" applyFont="1" applyFill="1" applyBorder="1" applyAlignment="1">
      <alignment horizontal="center" vertical="center" wrapText="1"/>
    </xf>
    <xf numFmtId="0" fontId="1" fillId="10" borderId="73" xfId="0" applyFont="1" applyFill="1" applyBorder="1" applyAlignment="1">
      <alignment horizontal="center" vertical="center" wrapText="1"/>
    </xf>
    <xf numFmtId="0" fontId="1" fillId="10" borderId="65" xfId="0" applyFont="1" applyFill="1" applyBorder="1" applyAlignment="1">
      <alignment horizontal="center" vertical="center"/>
    </xf>
    <xf numFmtId="0" fontId="1" fillId="10" borderId="17" xfId="0" applyFont="1" applyFill="1" applyBorder="1" applyAlignment="1">
      <alignment horizontal="center" vertical="center"/>
    </xf>
    <xf numFmtId="0" fontId="1" fillId="10" borderId="17" xfId="0" applyFont="1" applyFill="1" applyBorder="1" applyAlignment="1">
      <alignment horizontal="center" vertical="center" wrapText="1"/>
    </xf>
    <xf numFmtId="0" fontId="1" fillId="10" borderId="13" xfId="0" applyFont="1" applyFill="1" applyBorder="1" applyAlignment="1">
      <alignment horizontal="center" vertical="center"/>
    </xf>
    <xf numFmtId="0" fontId="1" fillId="5" borderId="14" xfId="0" applyFont="1" applyFill="1" applyBorder="1" applyProtection="1">
      <protection locked="0"/>
    </xf>
    <xf numFmtId="0" fontId="1" fillId="5" borderId="43" xfId="0" applyFont="1" applyFill="1" applyBorder="1" applyAlignment="1" applyProtection="1">
      <alignment horizontal="center"/>
      <protection locked="0"/>
    </xf>
    <xf numFmtId="0" fontId="1" fillId="10" borderId="80" xfId="0" applyFont="1" applyFill="1" applyBorder="1"/>
    <xf numFmtId="0" fontId="1" fillId="0" borderId="0" xfId="0" applyFont="1" applyProtection="1">
      <protection locked="0"/>
    </xf>
    <xf numFmtId="0" fontId="1" fillId="3" borderId="0" xfId="0" applyFont="1" applyFill="1" applyAlignment="1" applyProtection="1">
      <alignment horizontal="center"/>
      <protection locked="0"/>
    </xf>
    <xf numFmtId="0" fontId="1" fillId="0" borderId="0" xfId="0" applyFont="1" applyAlignment="1" applyProtection="1">
      <alignment horizontal="center"/>
      <protection locked="0"/>
    </xf>
    <xf numFmtId="0" fontId="1" fillId="3" borderId="96" xfId="0" applyFont="1" applyFill="1" applyBorder="1" applyAlignment="1" applyProtection="1">
      <alignment horizontal="center" vertical="center"/>
      <protection locked="0"/>
    </xf>
    <xf numFmtId="0" fontId="1" fillId="3" borderId="23" xfId="0" applyFont="1" applyFill="1" applyBorder="1" applyAlignment="1" applyProtection="1">
      <alignment horizontal="center" vertical="center"/>
      <protection locked="0"/>
    </xf>
    <xf numFmtId="0" fontId="1" fillId="8" borderId="46" xfId="0" applyFont="1" applyFill="1" applyBorder="1" applyAlignment="1" applyProtection="1">
      <alignment horizontal="center" vertical="center" wrapText="1"/>
      <protection locked="0"/>
    </xf>
    <xf numFmtId="0" fontId="1" fillId="3" borderId="63" xfId="0" applyFont="1" applyFill="1" applyBorder="1" applyAlignment="1" applyProtection="1">
      <alignment horizontal="center" vertical="center" wrapText="1"/>
      <protection locked="0"/>
    </xf>
    <xf numFmtId="0" fontId="1" fillId="3" borderId="64" xfId="0" applyFont="1" applyFill="1" applyBorder="1" applyAlignment="1" applyProtection="1">
      <alignment horizontal="center" vertical="center" wrapText="1"/>
      <protection locked="0"/>
    </xf>
    <xf numFmtId="0" fontId="1" fillId="8" borderId="63" xfId="0" applyFont="1" applyFill="1" applyBorder="1" applyAlignment="1" applyProtection="1">
      <alignment horizontal="center" vertical="center" wrapText="1"/>
      <protection locked="0"/>
    </xf>
    <xf numFmtId="0" fontId="1" fillId="8" borderId="64" xfId="0" applyFont="1" applyFill="1" applyBorder="1" applyAlignment="1" applyProtection="1">
      <alignment horizontal="center" vertical="center" wrapText="1"/>
      <protection locked="0"/>
    </xf>
    <xf numFmtId="0" fontId="1" fillId="3" borderId="63" xfId="0" applyFont="1" applyFill="1" applyBorder="1" applyAlignment="1" applyProtection="1">
      <alignment horizontal="center" vertical="center"/>
      <protection locked="0"/>
    </xf>
    <xf numFmtId="0" fontId="1" fillId="3" borderId="69" xfId="0" applyFont="1" applyFill="1" applyBorder="1" applyAlignment="1" applyProtection="1">
      <alignment horizontal="center" vertical="center"/>
      <protection locked="0"/>
    </xf>
    <xf numFmtId="0" fontId="1" fillId="3" borderId="53" xfId="0" applyFont="1" applyFill="1" applyBorder="1" applyAlignment="1" applyProtection="1">
      <alignment horizontal="center" vertical="center"/>
      <protection locked="0"/>
    </xf>
    <xf numFmtId="0" fontId="1" fillId="7" borderId="0" xfId="0" applyFont="1" applyFill="1" applyAlignment="1" applyProtection="1">
      <alignment horizontal="center"/>
      <protection locked="0"/>
    </xf>
    <xf numFmtId="0" fontId="1" fillId="3" borderId="27"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4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center"/>
    </xf>
    <xf numFmtId="0" fontId="1" fillId="0" borderId="4" xfId="0" applyFont="1" applyBorder="1" applyAlignment="1">
      <alignment horizontal="center" wrapText="1"/>
    </xf>
    <xf numFmtId="0" fontId="1" fillId="11" borderId="39" xfId="0" applyFont="1" applyFill="1" applyBorder="1" applyAlignment="1" applyProtection="1">
      <alignment horizontal="center" vertical="center"/>
      <protection hidden="1"/>
    </xf>
    <xf numFmtId="0" fontId="1" fillId="11" borderId="17" xfId="0" applyFont="1" applyFill="1" applyBorder="1" applyAlignment="1" applyProtection="1">
      <alignment horizontal="center" vertical="center"/>
      <protection hidden="1"/>
    </xf>
    <xf numFmtId="0" fontId="1" fillId="11" borderId="1" xfId="0" applyFont="1" applyFill="1" applyBorder="1" applyAlignment="1" applyProtection="1">
      <alignment horizontal="center" vertical="center"/>
      <protection hidden="1"/>
    </xf>
    <xf numFmtId="0" fontId="1" fillId="11" borderId="18" xfId="0" applyFont="1" applyFill="1" applyBorder="1" applyAlignment="1" applyProtection="1">
      <alignment horizontal="center" vertical="center"/>
      <protection hidden="1"/>
    </xf>
    <xf numFmtId="0" fontId="1" fillId="11" borderId="13" xfId="0" applyFont="1" applyFill="1" applyBorder="1" applyAlignment="1" applyProtection="1">
      <alignment horizontal="center" vertical="center"/>
      <protection hidden="1"/>
    </xf>
    <xf numFmtId="0" fontId="1" fillId="11" borderId="85" xfId="0" applyFont="1" applyFill="1" applyBorder="1" applyAlignment="1" applyProtection="1">
      <alignment horizontal="center" vertical="center"/>
      <protection hidden="1"/>
    </xf>
    <xf numFmtId="0" fontId="1" fillId="0" borderId="0" xfId="1" applyFont="1" applyProtection="1">
      <protection locked="0"/>
    </xf>
    <xf numFmtId="0" fontId="1" fillId="11" borderId="50" xfId="1" applyFont="1" applyFill="1" applyBorder="1" applyAlignment="1" applyProtection="1">
      <alignment horizontal="center" vertical="center" wrapText="1"/>
      <protection locked="0"/>
    </xf>
    <xf numFmtId="0" fontId="1" fillId="11" borderId="84" xfId="1" applyFont="1" applyFill="1" applyBorder="1" applyAlignment="1" applyProtection="1">
      <alignment horizontal="center" vertical="center" wrapText="1"/>
      <protection locked="0"/>
    </xf>
    <xf numFmtId="0" fontId="1" fillId="11" borderId="7" xfId="1" applyFont="1" applyFill="1" applyBorder="1" applyAlignment="1" applyProtection="1">
      <alignment horizontal="center" vertical="center" wrapText="1"/>
      <protection locked="0"/>
    </xf>
    <xf numFmtId="0" fontId="1" fillId="4" borderId="0" xfId="1" applyFont="1" applyFill="1"/>
    <xf numFmtId="0" fontId="1" fillId="11" borderId="39" xfId="1" applyFont="1" applyFill="1" applyBorder="1" applyAlignment="1" applyProtection="1">
      <alignment horizontal="center" vertical="center"/>
      <protection locked="0"/>
    </xf>
    <xf numFmtId="0" fontId="1" fillId="8" borderId="1" xfId="1" applyFont="1" applyFill="1" applyBorder="1" applyAlignment="1">
      <alignment horizontal="center" vertical="center"/>
    </xf>
    <xf numFmtId="0" fontId="1" fillId="11" borderId="17" xfId="1" applyFont="1" applyFill="1" applyBorder="1" applyAlignment="1" applyProtection="1">
      <alignment horizontal="center" vertical="center"/>
      <protection locked="0"/>
    </xf>
    <xf numFmtId="0" fontId="1" fillId="0" borderId="54" xfId="1" applyFont="1" applyBorder="1" applyAlignment="1" applyProtection="1">
      <alignment horizontal="center"/>
      <protection locked="0"/>
    </xf>
    <xf numFmtId="164" fontId="1" fillId="0" borderId="37" xfId="1" applyNumberFormat="1" applyFont="1" applyBorder="1" applyAlignment="1" applyProtection="1">
      <alignment horizontal="center"/>
      <protection locked="0"/>
    </xf>
    <xf numFmtId="0" fontId="1" fillId="11" borderId="13" xfId="1" applyFont="1" applyFill="1" applyBorder="1" applyAlignment="1" applyProtection="1">
      <alignment horizontal="center" vertical="center"/>
      <protection locked="0"/>
    </xf>
    <xf numFmtId="0" fontId="1" fillId="4" borderId="15" xfId="1" applyFont="1" applyFill="1" applyBorder="1" applyAlignment="1" applyProtection="1">
      <alignment horizontal="center" vertical="center"/>
      <protection locked="0"/>
    </xf>
    <xf numFmtId="0" fontId="1" fillId="8" borderId="15" xfId="1" applyFont="1" applyFill="1" applyBorder="1" applyAlignment="1">
      <alignment horizontal="center" vertical="center"/>
    </xf>
    <xf numFmtId="0" fontId="1" fillId="5" borderId="66" xfId="1" applyFont="1" applyFill="1" applyBorder="1" applyAlignment="1" applyProtection="1">
      <alignment horizontal="center" vertical="center" wrapText="1"/>
      <protection locked="0"/>
    </xf>
    <xf numFmtId="0" fontId="1" fillId="0" borderId="54" xfId="1" applyFont="1" applyBorder="1" applyAlignment="1" applyProtection="1">
      <alignment horizontal="center" vertical="center"/>
      <protection locked="0"/>
    </xf>
    <xf numFmtId="164" fontId="1" fillId="0" borderId="37" xfId="1" applyNumberFormat="1" applyFont="1" applyBorder="1" applyAlignment="1" applyProtection="1">
      <alignment horizontal="center" vertical="center"/>
      <protection locked="0"/>
    </xf>
    <xf numFmtId="0" fontId="1" fillId="0" borderId="9" xfId="1" applyFont="1" applyBorder="1" applyAlignment="1" applyProtection="1">
      <alignment horizontal="center"/>
      <protection locked="0"/>
    </xf>
    <xf numFmtId="164" fontId="1" fillId="0" borderId="3" xfId="1" applyNumberFormat="1" applyFont="1" applyBorder="1" applyAlignment="1" applyProtection="1">
      <alignment horizontal="center"/>
      <protection locked="0"/>
    </xf>
    <xf numFmtId="164" fontId="1" fillId="4" borderId="15" xfId="1" applyNumberFormat="1" applyFont="1" applyFill="1" applyBorder="1" applyAlignment="1" applyProtection="1">
      <alignment horizontal="center" vertical="center"/>
      <protection locked="0"/>
    </xf>
    <xf numFmtId="0" fontId="1" fillId="5" borderId="8" xfId="1" applyFont="1" applyFill="1" applyBorder="1" applyAlignment="1">
      <alignment horizontal="center"/>
    </xf>
    <xf numFmtId="0" fontId="1" fillId="5" borderId="10" xfId="1" applyFont="1" applyFill="1" applyBorder="1" applyAlignment="1">
      <alignment horizontal="center"/>
    </xf>
    <xf numFmtId="0" fontId="1" fillId="5" borderId="11" xfId="1" applyFont="1" applyFill="1" applyBorder="1" applyAlignment="1">
      <alignment horizontal="center"/>
    </xf>
    <xf numFmtId="0" fontId="1" fillId="0" borderId="0" xfId="1" applyFont="1" applyAlignment="1" applyProtection="1">
      <alignment horizontal="center" vertical="center"/>
      <protection locked="0"/>
    </xf>
    <xf numFmtId="164" fontId="1" fillId="0" borderId="0" xfId="1" applyNumberFormat="1" applyFont="1" applyAlignment="1" applyProtection="1">
      <alignment horizontal="center" vertical="center"/>
      <protection locked="0"/>
    </xf>
    <xf numFmtId="0" fontId="1" fillId="5" borderId="40" xfId="1" applyFont="1" applyFill="1" applyBorder="1" applyAlignment="1">
      <alignment horizontal="center"/>
    </xf>
    <xf numFmtId="0" fontId="1" fillId="5" borderId="41" xfId="1" applyFont="1" applyFill="1" applyBorder="1" applyAlignment="1">
      <alignment horizontal="center"/>
    </xf>
    <xf numFmtId="0" fontId="1" fillId="5" borderId="42" xfId="1" applyFont="1" applyFill="1" applyBorder="1" applyAlignment="1">
      <alignment horizontal="center"/>
    </xf>
    <xf numFmtId="0" fontId="1" fillId="7" borderId="0" xfId="1" applyFont="1" applyFill="1" applyAlignment="1" applyProtection="1">
      <alignment horizontal="center"/>
      <protection locked="0"/>
    </xf>
    <xf numFmtId="0" fontId="1" fillId="7" borderId="0" xfId="1" applyFont="1" applyFill="1" applyProtection="1">
      <protection locked="0"/>
    </xf>
    <xf numFmtId="0" fontId="1" fillId="5" borderId="9" xfId="1" applyFont="1" applyFill="1" applyBorder="1" applyAlignment="1">
      <alignment horizontal="center"/>
    </xf>
    <xf numFmtId="2" fontId="1" fillId="0" borderId="2" xfId="1" applyNumberFormat="1" applyFont="1" applyBorder="1" applyAlignment="1">
      <alignment horizontal="center"/>
    </xf>
    <xf numFmtId="2" fontId="1" fillId="0" borderId="3" xfId="1" applyNumberFormat="1" applyFont="1" applyBorder="1" applyAlignment="1">
      <alignment horizontal="center"/>
    </xf>
    <xf numFmtId="0" fontId="1" fillId="0" borderId="0" xfId="1" applyFont="1" applyAlignment="1" applyProtection="1">
      <alignment horizontal="center"/>
      <protection locked="0"/>
    </xf>
    <xf numFmtId="2" fontId="1" fillId="0" borderId="0" xfId="1" applyNumberFormat="1" applyFont="1" applyAlignment="1" applyProtection="1">
      <alignment horizontal="center"/>
      <protection locked="0"/>
    </xf>
    <xf numFmtId="164" fontId="1" fillId="4" borderId="1" xfId="1" applyNumberFormat="1" applyFont="1" applyFill="1" applyBorder="1" applyAlignment="1" applyProtection="1">
      <alignment horizontal="center"/>
      <protection locked="0"/>
    </xf>
    <xf numFmtId="164" fontId="1" fillId="4" borderId="1" xfId="1" applyNumberFormat="1" applyFont="1" applyFill="1" applyBorder="1" applyAlignment="1" applyProtection="1">
      <alignment horizontal="center" vertical="center"/>
      <protection locked="0"/>
    </xf>
    <xf numFmtId="164" fontId="1" fillId="4" borderId="36" xfId="1" applyNumberFormat="1" applyFont="1" applyFill="1" applyBorder="1" applyAlignment="1" applyProtection="1">
      <alignment horizontal="center"/>
      <protection locked="0"/>
    </xf>
    <xf numFmtId="164" fontId="1" fillId="4" borderId="1" xfId="1" quotePrefix="1" applyNumberFormat="1" applyFont="1" applyFill="1" applyBorder="1" applyAlignment="1" applyProtection="1">
      <alignment horizontal="center"/>
      <protection locked="0"/>
    </xf>
    <xf numFmtId="164" fontId="1" fillId="4" borderId="1" xfId="1" quotePrefix="1" applyNumberFormat="1" applyFont="1" applyFill="1" applyBorder="1" applyAlignment="1" applyProtection="1">
      <alignment horizontal="center" vertical="center"/>
      <protection locked="0"/>
    </xf>
    <xf numFmtId="0" fontId="23" fillId="0" borderId="0" xfId="0" applyFont="1" applyAlignment="1">
      <alignment horizontal="center"/>
    </xf>
    <xf numFmtId="0" fontId="11" fillId="0" borderId="0" xfId="0" quotePrefix="1" applyFont="1" applyAlignment="1">
      <alignment horizontal="center"/>
    </xf>
    <xf numFmtId="0" fontId="11" fillId="0" borderId="0" xfId="0" applyFont="1" applyAlignment="1">
      <alignment horizontal="center"/>
    </xf>
    <xf numFmtId="0" fontId="23" fillId="0" borderId="0" xfId="0" quotePrefix="1" applyFont="1" applyAlignment="1">
      <alignment horizontal="center" vertical="center"/>
    </xf>
    <xf numFmtId="0" fontId="23" fillId="0" borderId="0" xfId="0" applyFont="1" applyAlignment="1">
      <alignment horizontal="center" vertical="center"/>
    </xf>
    <xf numFmtId="0" fontId="3" fillId="10" borderId="130" xfId="0" quotePrefix="1" applyFont="1" applyFill="1" applyBorder="1" applyAlignment="1">
      <alignment horizontal="center"/>
    </xf>
    <xf numFmtId="0" fontId="3" fillId="10" borderId="78" xfId="0" quotePrefix="1" applyFont="1" applyFill="1" applyBorder="1" applyAlignment="1">
      <alignment horizontal="center"/>
    </xf>
    <xf numFmtId="0" fontId="18" fillId="0" borderId="0" xfId="0" applyFont="1" applyAlignment="1">
      <alignment horizontal="center" vertical="center" wrapText="1"/>
    </xf>
    <xf numFmtId="0" fontId="18" fillId="0" borderId="0" xfId="0" applyFont="1" applyAlignment="1">
      <alignment horizontal="center" vertical="center"/>
    </xf>
    <xf numFmtId="0" fontId="14" fillId="10" borderId="81" xfId="0" applyFont="1" applyFill="1" applyBorder="1" applyAlignment="1">
      <alignment horizontal="left"/>
    </xf>
    <xf numFmtId="0" fontId="14" fillId="10" borderId="74" xfId="0" applyFont="1" applyFill="1" applyBorder="1" applyAlignment="1">
      <alignment horizontal="left"/>
    </xf>
    <xf numFmtId="0" fontId="1" fillId="10" borderId="74" xfId="0" applyFont="1" applyFill="1" applyBorder="1" applyAlignment="1">
      <alignment horizontal="left"/>
    </xf>
    <xf numFmtId="0" fontId="1" fillId="10" borderId="86" xfId="0" applyFont="1" applyFill="1" applyBorder="1" applyAlignment="1">
      <alignment horizontal="left"/>
    </xf>
    <xf numFmtId="0" fontId="1" fillId="10" borderId="0" xfId="0" applyFont="1" applyFill="1" applyAlignment="1">
      <alignment horizontal="left"/>
    </xf>
    <xf numFmtId="0" fontId="1" fillId="10" borderId="117" xfId="0" applyFont="1" applyFill="1" applyBorder="1" applyAlignment="1">
      <alignment horizontal="left"/>
    </xf>
    <xf numFmtId="0" fontId="1" fillId="10" borderId="74" xfId="0" applyFont="1" applyFill="1" applyBorder="1" applyAlignment="1">
      <alignment horizontal="center"/>
    </xf>
    <xf numFmtId="0" fontId="23" fillId="0" borderId="87" xfId="0" applyFont="1" applyBorder="1" applyAlignment="1">
      <alignment horizontal="center" vertical="center"/>
    </xf>
    <xf numFmtId="0" fontId="23" fillId="0" borderId="88" xfId="0" applyFont="1" applyBorder="1" applyAlignment="1">
      <alignment horizontal="center" vertical="center"/>
    </xf>
    <xf numFmtId="0" fontId="0" fillId="0" borderId="89" xfId="0" applyBorder="1" applyAlignment="1">
      <alignment horizontal="left" vertical="center" wrapText="1"/>
    </xf>
    <xf numFmtId="0" fontId="0" fillId="0" borderId="74" xfId="0" applyBorder="1" applyAlignment="1">
      <alignment horizontal="left" vertical="center" wrapText="1"/>
    </xf>
    <xf numFmtId="0" fontId="0" fillId="0" borderId="86" xfId="0" applyBorder="1" applyAlignment="1">
      <alignment horizontal="left" vertical="center" wrapText="1"/>
    </xf>
    <xf numFmtId="0" fontId="0" fillId="0" borderId="90" xfId="0" applyBorder="1" applyAlignment="1">
      <alignment horizontal="left" vertical="center" wrapText="1"/>
    </xf>
    <xf numFmtId="0" fontId="0" fillId="0" borderId="80" xfId="0" applyBorder="1" applyAlignment="1">
      <alignment horizontal="left" vertical="center" wrapText="1"/>
    </xf>
    <xf numFmtId="0" fontId="0" fillId="0" borderId="91" xfId="0" applyBorder="1" applyAlignment="1">
      <alignment horizontal="left" vertical="center" wrapText="1"/>
    </xf>
    <xf numFmtId="0" fontId="3" fillId="0" borderId="89" xfId="0" applyFont="1" applyBorder="1" applyAlignment="1">
      <alignment horizontal="left" vertical="center" wrapText="1"/>
    </xf>
    <xf numFmtId="0" fontId="3" fillId="0" borderId="74" xfId="0" applyFont="1" applyBorder="1" applyAlignment="1">
      <alignment horizontal="left" vertical="center" wrapText="1"/>
    </xf>
    <xf numFmtId="0" fontId="3" fillId="0" borderId="86" xfId="0" applyFont="1" applyBorder="1" applyAlignment="1">
      <alignment horizontal="left" vertical="center" wrapText="1"/>
    </xf>
    <xf numFmtId="0" fontId="3" fillId="0" borderId="90" xfId="0" applyFont="1" applyBorder="1" applyAlignment="1">
      <alignment horizontal="left" vertical="center" wrapText="1"/>
    </xf>
    <xf numFmtId="0" fontId="3" fillId="0" borderId="80" xfId="0" applyFont="1" applyBorder="1" applyAlignment="1">
      <alignment horizontal="left" vertical="center" wrapText="1"/>
    </xf>
    <xf numFmtId="0" fontId="3" fillId="0" borderId="91" xfId="0" applyFont="1" applyBorder="1" applyAlignment="1">
      <alignment horizontal="left" vertical="center" wrapText="1"/>
    </xf>
    <xf numFmtId="0" fontId="1" fillId="0" borderId="89" xfId="0" applyFont="1" applyBorder="1" applyAlignment="1">
      <alignment horizontal="left" vertical="center" wrapText="1"/>
    </xf>
    <xf numFmtId="0" fontId="1" fillId="10" borderId="86" xfId="0" applyFont="1" applyFill="1" applyBorder="1" applyAlignment="1">
      <alignment horizontal="center"/>
    </xf>
    <xf numFmtId="0" fontId="1" fillId="10" borderId="80" xfId="0" applyFont="1" applyFill="1" applyBorder="1" applyAlignment="1">
      <alignment horizontal="center"/>
    </xf>
    <xf numFmtId="0" fontId="1" fillId="10" borderId="91" xfId="0" applyFont="1" applyFill="1" applyBorder="1" applyAlignment="1">
      <alignment horizontal="center"/>
    </xf>
    <xf numFmtId="14" fontId="1" fillId="10" borderId="80" xfId="0" applyNumberFormat="1" applyFont="1" applyFill="1" applyBorder="1" applyAlignment="1">
      <alignment horizontal="left"/>
    </xf>
    <xf numFmtId="0" fontId="23" fillId="0" borderId="0" xfId="0" applyFont="1" applyAlignment="1">
      <alignment horizontal="right"/>
    </xf>
    <xf numFmtId="0" fontId="23" fillId="0" borderId="117" xfId="0" applyFont="1" applyBorder="1" applyAlignment="1">
      <alignment horizontal="right"/>
    </xf>
    <xf numFmtId="0" fontId="18" fillId="11" borderId="92" xfId="0" quotePrefix="1" applyFont="1" applyFill="1" applyBorder="1" applyAlignment="1">
      <alignment horizontal="center" vertical="center"/>
    </xf>
    <xf numFmtId="0" fontId="18" fillId="11" borderId="93" xfId="0" applyFont="1" applyFill="1" applyBorder="1" applyAlignment="1">
      <alignment horizontal="center" vertical="center"/>
    </xf>
    <xf numFmtId="0" fontId="18" fillId="0" borderId="158" xfId="0" applyFont="1" applyBorder="1" applyAlignment="1">
      <alignment horizontal="right" vertical="center"/>
    </xf>
    <xf numFmtId="0" fontId="18" fillId="0" borderId="117" xfId="0" applyFont="1" applyBorder="1" applyAlignment="1">
      <alignment horizontal="right" vertical="center"/>
    </xf>
    <xf numFmtId="0" fontId="0" fillId="0" borderId="0" xfId="0" applyAlignment="1"/>
    <xf numFmtId="0" fontId="18" fillId="11" borderId="92" xfId="0" quotePrefix="1" applyFont="1" applyFill="1" applyBorder="1" applyAlignment="1">
      <alignment horizontal="center"/>
    </xf>
    <xf numFmtId="0" fontId="18" fillId="11" borderId="93" xfId="0" applyFont="1" applyFill="1" applyBorder="1" applyAlignment="1">
      <alignment horizontal="center"/>
    </xf>
    <xf numFmtId="0" fontId="23" fillId="11" borderId="92" xfId="0" quotePrefix="1" applyFont="1" applyFill="1" applyBorder="1" applyAlignment="1">
      <alignment horizontal="center" vertical="center"/>
    </xf>
    <xf numFmtId="0" fontId="23" fillId="11" borderId="93" xfId="0" applyFont="1" applyFill="1" applyBorder="1" applyAlignment="1">
      <alignment horizontal="center" vertical="center"/>
    </xf>
    <xf numFmtId="0" fontId="18" fillId="11" borderId="93" xfId="0" quotePrefix="1" applyFont="1" applyFill="1" applyBorder="1" applyAlignment="1">
      <alignment horizontal="center"/>
    </xf>
    <xf numFmtId="0" fontId="23" fillId="0" borderId="0" xfId="0" applyFont="1" applyAlignment="1">
      <alignment horizontal="right" vertical="center"/>
    </xf>
    <xf numFmtId="0" fontId="18" fillId="15" borderId="92" xfId="0" applyFont="1" applyFill="1" applyBorder="1" applyAlignment="1">
      <alignment horizontal="center" vertical="center"/>
    </xf>
    <xf numFmtId="0" fontId="18" fillId="15" borderId="93" xfId="0" applyFont="1" applyFill="1" applyBorder="1" applyAlignment="1">
      <alignment horizontal="center" vertical="center"/>
    </xf>
    <xf numFmtId="0" fontId="5" fillId="0" borderId="92" xfId="4" applyFont="1" applyBorder="1" applyAlignment="1">
      <alignment horizontal="left" vertical="center" wrapText="1"/>
    </xf>
    <xf numFmtId="0" fontId="5" fillId="0" borderId="141" xfId="4" applyFont="1" applyBorder="1" applyAlignment="1">
      <alignment horizontal="left" vertical="center" wrapText="1"/>
    </xf>
    <xf numFmtId="0" fontId="5" fillId="0" borderId="93" xfId="4" applyFont="1" applyBorder="1" applyAlignment="1">
      <alignment horizontal="left" vertical="center" wrapText="1"/>
    </xf>
    <xf numFmtId="0" fontId="5" fillId="0" borderId="92" xfId="3" applyFont="1" applyBorder="1" applyAlignment="1">
      <alignment horizontal="left" vertical="center" wrapText="1"/>
    </xf>
    <xf numFmtId="0" fontId="5" fillId="0" borderId="141" xfId="3" applyFont="1" applyBorder="1" applyAlignment="1">
      <alignment horizontal="left" vertical="center" wrapText="1"/>
    </xf>
    <xf numFmtId="0" fontId="5" fillId="0" borderId="93" xfId="3" applyFont="1" applyBorder="1" applyAlignment="1">
      <alignment horizontal="left" vertical="center" wrapText="1"/>
    </xf>
    <xf numFmtId="0" fontId="5" fillId="0" borderId="155" xfId="4" applyFont="1" applyBorder="1" applyAlignment="1">
      <alignment horizontal="left" vertical="center" wrapText="1"/>
    </xf>
    <xf numFmtId="0" fontId="5" fillId="0" borderId="156" xfId="4" applyFont="1" applyBorder="1" applyAlignment="1">
      <alignment horizontal="left" vertical="center" wrapText="1"/>
    </xf>
    <xf numFmtId="0" fontId="5" fillId="0" borderId="157" xfId="4" applyFont="1" applyBorder="1" applyAlignment="1">
      <alignment horizontal="left" vertical="center" wrapText="1"/>
    </xf>
    <xf numFmtId="0" fontId="14" fillId="10" borderId="81" xfId="3" applyFont="1" applyFill="1" applyBorder="1" applyAlignment="1">
      <alignment horizontal="left"/>
    </xf>
    <xf numFmtId="0" fontId="14" fillId="10" borderId="74" xfId="3" applyFont="1" applyFill="1" applyBorder="1" applyAlignment="1">
      <alignment horizontal="left"/>
    </xf>
    <xf numFmtId="0" fontId="1" fillId="10" borderId="74" xfId="3" applyFill="1" applyBorder="1" applyAlignment="1">
      <alignment horizontal="center"/>
    </xf>
    <xf numFmtId="0" fontId="1" fillId="10" borderId="86" xfId="3" applyFill="1" applyBorder="1" applyAlignment="1">
      <alignment horizontal="center"/>
    </xf>
    <xf numFmtId="14" fontId="1" fillId="10" borderId="80" xfId="3" applyNumberFormat="1" applyFill="1" applyBorder="1" applyAlignment="1">
      <alignment horizontal="left"/>
    </xf>
    <xf numFmtId="0" fontId="1" fillId="10" borderId="80" xfId="3" applyFill="1" applyBorder="1" applyAlignment="1">
      <alignment horizontal="center"/>
    </xf>
    <xf numFmtId="0" fontId="1" fillId="10" borderId="91" xfId="3" applyFill="1" applyBorder="1" applyAlignment="1">
      <alignment horizontal="center"/>
    </xf>
    <xf numFmtId="0" fontId="4" fillId="11" borderId="114" xfId="4" applyFont="1" applyFill="1" applyBorder="1" applyAlignment="1">
      <alignment horizontal="center" vertical="center" wrapText="1"/>
    </xf>
    <xf numFmtId="0" fontId="4" fillId="11" borderId="133" xfId="4" applyFont="1" applyFill="1" applyBorder="1" applyAlignment="1">
      <alignment horizontal="center" vertical="center" wrapText="1"/>
    </xf>
    <xf numFmtId="0" fontId="4" fillId="11" borderId="134" xfId="4" applyFont="1" applyFill="1" applyBorder="1" applyAlignment="1">
      <alignment horizontal="center" vertical="center" wrapText="1"/>
    </xf>
    <xf numFmtId="0" fontId="4" fillId="11" borderId="118" xfId="4" applyFont="1" applyFill="1" applyBorder="1" applyAlignment="1">
      <alignment horizontal="center" vertical="center" wrapText="1"/>
    </xf>
    <xf numFmtId="0" fontId="4" fillId="11" borderId="135" xfId="4" applyFont="1" applyFill="1" applyBorder="1" applyAlignment="1">
      <alignment horizontal="center" vertical="center" wrapText="1"/>
    </xf>
    <xf numFmtId="0" fontId="4" fillId="11" borderId="136" xfId="4" applyFont="1" applyFill="1" applyBorder="1" applyAlignment="1">
      <alignment horizontal="center" vertical="center" wrapText="1"/>
    </xf>
    <xf numFmtId="0" fontId="5" fillId="0" borderId="152" xfId="4" applyFont="1" applyBorder="1" applyAlignment="1">
      <alignment vertical="center" wrapText="1"/>
    </xf>
    <xf numFmtId="0" fontId="5" fillId="0" borderId="153" xfId="4" applyFont="1" applyBorder="1" applyAlignment="1">
      <alignment vertical="center" wrapText="1"/>
    </xf>
    <xf numFmtId="0" fontId="5" fillId="0" borderId="154" xfId="4" applyFont="1" applyBorder="1" applyAlignment="1">
      <alignment vertical="center" wrapText="1"/>
    </xf>
    <xf numFmtId="0" fontId="9" fillId="5" borderId="6" xfId="0" applyFont="1" applyFill="1" applyBorder="1" applyAlignment="1">
      <alignment horizontal="left" vertical="center"/>
    </xf>
    <xf numFmtId="0" fontId="9" fillId="5" borderId="95" xfId="0" applyFont="1" applyFill="1" applyBorder="1" applyAlignment="1">
      <alignment horizontal="left" vertical="center"/>
    </xf>
    <xf numFmtId="0" fontId="9" fillId="5" borderId="51" xfId="0" applyFont="1" applyFill="1" applyBorder="1" applyAlignment="1">
      <alignment horizontal="left" vertical="center"/>
    </xf>
    <xf numFmtId="0" fontId="39" fillId="0" borderId="19" xfId="0" applyFont="1" applyBorder="1" applyAlignment="1">
      <alignment horizontal="center" vertical="center" wrapText="1"/>
    </xf>
    <xf numFmtId="0" fontId="39" fillId="0" borderId="36" xfId="0" applyFont="1" applyBorder="1" applyAlignment="1">
      <alignment horizontal="center" vertical="center" wrapText="1"/>
    </xf>
    <xf numFmtId="0" fontId="7" fillId="5" borderId="72" xfId="0" applyFont="1" applyFill="1" applyBorder="1" applyAlignment="1">
      <alignment horizontal="center" vertical="center" wrapText="1"/>
    </xf>
    <xf numFmtId="0" fontId="7" fillId="5" borderId="36" xfId="0" applyFont="1" applyFill="1" applyBorder="1" applyAlignment="1">
      <alignment horizontal="center" vertical="center" wrapText="1"/>
    </xf>
    <xf numFmtId="0" fontId="39" fillId="0" borderId="72" xfId="0" applyFont="1" applyBorder="1" applyAlignment="1">
      <alignment horizontal="center" vertical="center" wrapText="1"/>
    </xf>
    <xf numFmtId="0" fontId="39" fillId="0" borderId="137" xfId="0" applyFont="1" applyBorder="1" applyAlignment="1">
      <alignment horizontal="center" vertical="center" wrapText="1"/>
    </xf>
    <xf numFmtId="0" fontId="7" fillId="5" borderId="18" xfId="0" applyFont="1" applyFill="1" applyBorder="1" applyAlignment="1">
      <alignment horizontal="center" vertical="center" wrapText="1"/>
    </xf>
    <xf numFmtId="0" fontId="7" fillId="5" borderId="39" xfId="0" applyFont="1" applyFill="1" applyBorder="1" applyAlignment="1">
      <alignment horizontal="center" vertical="center" wrapText="1"/>
    </xf>
    <xf numFmtId="0" fontId="1" fillId="0" borderId="47" xfId="0" applyFont="1" applyBorder="1" applyAlignment="1">
      <alignment horizontal="center" vertical="center" wrapText="1"/>
    </xf>
    <xf numFmtId="0" fontId="0" fillId="0" borderId="96" xfId="0" applyBorder="1" applyAlignment="1">
      <alignment horizontal="center" vertical="center" wrapText="1"/>
    </xf>
    <xf numFmtId="0" fontId="0" fillId="0" borderId="23" xfId="0" applyBorder="1" applyAlignment="1">
      <alignment horizontal="center" vertical="center" wrapText="1"/>
    </xf>
    <xf numFmtId="0" fontId="7" fillId="5" borderId="103" xfId="0" applyFont="1" applyFill="1" applyBorder="1" applyAlignment="1">
      <alignment horizontal="center" vertical="center" wrapText="1"/>
    </xf>
    <xf numFmtId="0" fontId="3" fillId="5" borderId="84" xfId="0" applyFont="1" applyFill="1" applyBorder="1" applyAlignment="1">
      <alignment horizontal="center" vertical="center"/>
    </xf>
    <xf numFmtId="0" fontId="3" fillId="5" borderId="7" xfId="0" applyFont="1" applyFill="1" applyBorder="1" applyAlignment="1">
      <alignment horizontal="center" vertical="center"/>
    </xf>
    <xf numFmtId="0" fontId="1" fillId="0" borderId="36" xfId="0" applyFont="1"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4" fillId="0" borderId="19"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72" xfId="0" applyFont="1" applyBorder="1" applyAlignment="1">
      <alignment horizontal="center" vertical="center" wrapText="1"/>
    </xf>
    <xf numFmtId="0" fontId="7" fillId="5" borderId="65" xfId="0" applyFont="1" applyFill="1" applyBorder="1" applyAlignment="1">
      <alignment horizontal="center" vertical="center" wrapText="1"/>
    </xf>
    <xf numFmtId="0" fontId="5" fillId="8" borderId="97" xfId="0" applyFont="1" applyFill="1" applyBorder="1" applyAlignment="1">
      <alignment horizontal="center" vertical="center"/>
    </xf>
    <xf numFmtId="0" fontId="5" fillId="8" borderId="95" xfId="0" applyFont="1" applyFill="1" applyBorder="1" applyAlignment="1">
      <alignment horizontal="center" vertical="center"/>
    </xf>
    <xf numFmtId="0" fontId="5" fillId="8" borderId="83" xfId="0" applyFont="1" applyFill="1" applyBorder="1" applyAlignment="1">
      <alignment horizontal="center" vertical="center"/>
    </xf>
    <xf numFmtId="0" fontId="0" fillId="0" borderId="15" xfId="0" applyBorder="1" applyAlignment="1">
      <alignment horizontal="left" vertical="center" wrapText="1"/>
    </xf>
    <xf numFmtId="0" fontId="0" fillId="0" borderId="38" xfId="0" applyBorder="1" applyAlignment="1">
      <alignment horizontal="left" vertical="center" wrapText="1"/>
    </xf>
    <xf numFmtId="0" fontId="5" fillId="0" borderId="97" xfId="0" applyFont="1" applyBorder="1" applyAlignment="1">
      <alignment horizontal="center" vertical="center"/>
    </xf>
    <xf numFmtId="0" fontId="5" fillId="0" borderId="83" xfId="0" applyFont="1" applyBorder="1" applyAlignment="1">
      <alignment horizontal="center" vertical="center"/>
    </xf>
    <xf numFmtId="0" fontId="5" fillId="0" borderId="95" xfId="0" applyFont="1" applyBorder="1" applyAlignment="1">
      <alignment horizontal="center" vertical="center"/>
    </xf>
    <xf numFmtId="0" fontId="39" fillId="0" borderId="85" xfId="0" applyFont="1" applyBorder="1" applyAlignment="1">
      <alignment horizontal="center" vertical="center" wrapText="1"/>
    </xf>
    <xf numFmtId="0" fontId="7" fillId="5" borderId="19"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7" fillId="5" borderId="85" xfId="0" applyFont="1" applyFill="1" applyBorder="1" applyAlignment="1">
      <alignment horizontal="center" vertical="center" wrapText="1"/>
    </xf>
    <xf numFmtId="0" fontId="22" fillId="0" borderId="19" xfId="0" applyFont="1" applyBorder="1" applyAlignment="1">
      <alignment horizontal="center" vertical="center" wrapText="1"/>
    </xf>
    <xf numFmtId="0" fontId="22" fillId="0" borderId="36" xfId="0" applyFont="1" applyBorder="1" applyAlignment="1">
      <alignment horizontal="center" vertical="center" wrapText="1"/>
    </xf>
    <xf numFmtId="0" fontId="14" fillId="0" borderId="85" xfId="0" applyFont="1" applyBorder="1" applyAlignment="1">
      <alignment horizontal="center" vertical="center" wrapText="1"/>
    </xf>
    <xf numFmtId="0" fontId="40" fillId="0" borderId="94" xfId="0" applyFont="1" applyBorder="1" applyAlignment="1">
      <alignment horizontal="center" vertical="center" wrapText="1"/>
    </xf>
    <xf numFmtId="0" fontId="40" fillId="0" borderId="3"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1" xfId="0" applyFont="1" applyBorder="1" applyAlignment="1">
      <alignment horizontal="center" vertical="center" wrapText="1"/>
    </xf>
    <xf numFmtId="0" fontId="0" fillId="10" borderId="74" xfId="0" applyFill="1" applyBorder="1" applyAlignment="1">
      <alignment horizontal="left"/>
    </xf>
    <xf numFmtId="0" fontId="0" fillId="10" borderId="74" xfId="0" applyFill="1" applyBorder="1" applyAlignment="1"/>
    <xf numFmtId="0" fontId="0" fillId="10" borderId="86" xfId="0" applyFill="1" applyBorder="1" applyAlignment="1"/>
    <xf numFmtId="0" fontId="40" fillId="0" borderId="73"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94" xfId="0" applyFont="1" applyBorder="1" applyAlignment="1">
      <alignment horizontal="center" vertical="center" wrapText="1"/>
    </xf>
    <xf numFmtId="0" fontId="24" fillId="0" borderId="0" xfId="0" applyFont="1" applyAlignment="1">
      <alignment horizontal="center"/>
    </xf>
    <xf numFmtId="0" fontId="14" fillId="10" borderId="79" xfId="0" applyFont="1" applyFill="1" applyBorder="1" applyAlignment="1">
      <alignment horizontal="left"/>
    </xf>
    <xf numFmtId="0" fontId="14" fillId="10" borderId="80" xfId="0" applyFont="1" applyFill="1" applyBorder="1" applyAlignment="1">
      <alignment horizontal="left"/>
    </xf>
    <xf numFmtId="0" fontId="40" fillId="0" borderId="37" xfId="0" applyFont="1" applyBorder="1" applyAlignment="1">
      <alignment horizontal="center" vertical="center" wrapText="1"/>
    </xf>
    <xf numFmtId="0" fontId="14" fillId="10" borderId="80" xfId="0" applyFont="1" applyFill="1" applyBorder="1" applyAlignment="1">
      <alignment horizontal="center"/>
    </xf>
    <xf numFmtId="0" fontId="0" fillId="10" borderId="80" xfId="0" applyFill="1" applyBorder="1" applyAlignment="1">
      <alignment horizontal="center"/>
    </xf>
    <xf numFmtId="0" fontId="0" fillId="10" borderId="91" xfId="0" applyFill="1" applyBorder="1" applyAlignment="1">
      <alignment horizontal="center"/>
    </xf>
    <xf numFmtId="0" fontId="40" fillId="0" borderId="72" xfId="0" applyFont="1" applyBorder="1" applyAlignment="1">
      <alignment horizontal="center" vertical="center" wrapText="1"/>
    </xf>
    <xf numFmtId="0" fontId="40" fillId="0" borderId="36" xfId="0" applyFont="1" applyBorder="1" applyAlignment="1">
      <alignment horizontal="center" vertical="center" wrapText="1"/>
    </xf>
    <xf numFmtId="0" fontId="10" fillId="10" borderId="47" xfId="0" applyFont="1" applyFill="1" applyBorder="1" applyAlignment="1">
      <alignment horizontal="center" wrapText="1"/>
    </xf>
    <xf numFmtId="0" fontId="10" fillId="10" borderId="46" xfId="0" applyFont="1" applyFill="1" applyBorder="1" applyAlignment="1">
      <alignment horizontal="center" wrapText="1"/>
    </xf>
    <xf numFmtId="0" fontId="10" fillId="5" borderId="24" xfId="0" applyFont="1" applyFill="1" applyBorder="1" applyAlignment="1">
      <alignment horizontal="center" vertical="center" wrapText="1"/>
    </xf>
    <xf numFmtId="0" fontId="10" fillId="5" borderId="48" xfId="0" applyFont="1" applyFill="1" applyBorder="1" applyAlignment="1">
      <alignment horizontal="center" vertical="center" wrapText="1"/>
    </xf>
    <xf numFmtId="0" fontId="10" fillId="5" borderId="49" xfId="0" applyFont="1" applyFill="1" applyBorder="1" applyAlignment="1">
      <alignment horizontal="center" vertical="center" wrapText="1"/>
    </xf>
    <xf numFmtId="0" fontId="10" fillId="5" borderId="25" xfId="0" applyFont="1" applyFill="1" applyBorder="1" applyAlignment="1">
      <alignment horizontal="center" vertical="center" wrapText="1"/>
    </xf>
    <xf numFmtId="0" fontId="10" fillId="5" borderId="100" xfId="0" applyFont="1" applyFill="1" applyBorder="1" applyAlignment="1">
      <alignment horizontal="center" vertical="center" wrapText="1"/>
    </xf>
    <xf numFmtId="0" fontId="10" fillId="5" borderId="54" xfId="0" applyFont="1" applyFill="1" applyBorder="1" applyAlignment="1">
      <alignment horizontal="center" wrapText="1"/>
    </xf>
    <xf numFmtId="0" fontId="10" fillId="5" borderId="27" xfId="0" applyFont="1" applyFill="1" applyBorder="1" applyAlignment="1">
      <alignment horizontal="center" wrapText="1"/>
    </xf>
    <xf numFmtId="0" fontId="10" fillId="10" borderId="47" xfId="0" quotePrefix="1" applyFont="1" applyFill="1" applyBorder="1" applyAlignment="1">
      <alignment horizontal="center" wrapText="1"/>
    </xf>
    <xf numFmtId="0" fontId="10" fillId="10" borderId="10" xfId="0" applyFont="1" applyFill="1" applyBorder="1" applyAlignment="1">
      <alignment horizontal="center" wrapText="1"/>
    </xf>
    <xf numFmtId="0" fontId="10" fillId="10" borderId="43" xfId="0" applyFont="1" applyFill="1" applyBorder="1" applyAlignment="1">
      <alignment horizontal="center" wrapText="1"/>
    </xf>
    <xf numFmtId="0" fontId="10" fillId="10" borderId="104" xfId="0" applyFont="1" applyFill="1" applyBorder="1" applyAlignment="1">
      <alignment horizontal="center" wrapText="1"/>
    </xf>
    <xf numFmtId="0" fontId="10" fillId="10" borderId="105" xfId="0" applyFont="1" applyFill="1" applyBorder="1" applyAlignment="1">
      <alignment horizontal="center" wrapText="1"/>
    </xf>
    <xf numFmtId="0" fontId="10" fillId="10" borderId="104" xfId="0" quotePrefix="1" applyFont="1" applyFill="1" applyBorder="1" applyAlignment="1">
      <alignment horizontal="center" wrapText="1"/>
    </xf>
    <xf numFmtId="0" fontId="3" fillId="7" borderId="0" xfId="0" applyFont="1" applyFill="1" applyAlignment="1"/>
    <xf numFmtId="0" fontId="0" fillId="7" borderId="0" xfId="0" applyFill="1" applyAlignment="1"/>
    <xf numFmtId="0" fontId="30" fillId="7" borderId="0" xfId="0" applyFont="1" applyFill="1" applyAlignment="1"/>
    <xf numFmtId="0" fontId="27" fillId="0" borderId="1" xfId="0" applyFont="1" applyBorder="1" applyAlignment="1">
      <alignment horizontal="center" wrapText="1"/>
    </xf>
    <xf numFmtId="0" fontId="27" fillId="0" borderId="57" xfId="0" applyFont="1" applyBorder="1" applyAlignment="1">
      <alignment horizontal="center" wrapText="1"/>
    </xf>
    <xf numFmtId="0" fontId="27" fillId="0" borderId="15" xfId="0" applyFont="1" applyBorder="1" applyAlignment="1">
      <alignment horizontal="center" wrapText="1"/>
    </xf>
    <xf numFmtId="0" fontId="27" fillId="0" borderId="38" xfId="0" applyFont="1" applyBorder="1" applyAlignment="1">
      <alignment horizontal="center" wrapText="1"/>
    </xf>
    <xf numFmtId="0" fontId="10" fillId="0" borderId="47" xfId="0" applyFont="1" applyBorder="1" applyAlignment="1">
      <alignment horizontal="center" wrapText="1"/>
    </xf>
    <xf numFmtId="0" fontId="10" fillId="0" borderId="46" xfId="0" applyFont="1" applyBorder="1" applyAlignment="1">
      <alignment horizontal="center" wrapText="1"/>
    </xf>
    <xf numFmtId="0" fontId="10" fillId="0" borderId="49" xfId="0" applyFont="1" applyBorder="1" applyAlignment="1">
      <alignment horizontal="center" wrapText="1"/>
    </xf>
    <xf numFmtId="0" fontId="10" fillId="0" borderId="48" xfId="0" applyFont="1" applyBorder="1" applyAlignment="1">
      <alignment horizontal="center" wrapText="1"/>
    </xf>
    <xf numFmtId="0" fontId="10" fillId="0" borderId="96" xfId="0" applyFont="1" applyBorder="1" applyAlignment="1">
      <alignment horizontal="center" wrapText="1"/>
    </xf>
    <xf numFmtId="0" fontId="10" fillId="5" borderId="24" xfId="0" applyFont="1" applyFill="1" applyBorder="1" applyAlignment="1">
      <alignment horizontal="center" wrapText="1"/>
    </xf>
    <xf numFmtId="0" fontId="10" fillId="5" borderId="48" xfId="0" applyFont="1" applyFill="1" applyBorder="1" applyAlignment="1">
      <alignment horizontal="center" wrapText="1"/>
    </xf>
    <xf numFmtId="0" fontId="10" fillId="5" borderId="22" xfId="0" applyFont="1" applyFill="1" applyBorder="1" applyAlignment="1">
      <alignment horizontal="center" wrapText="1"/>
    </xf>
    <xf numFmtId="0" fontId="10" fillId="5" borderId="8" xfId="0" applyFont="1" applyFill="1" applyBorder="1" applyAlignment="1">
      <alignment horizontal="center" vertical="top" wrapText="1"/>
    </xf>
    <xf numFmtId="0" fontId="11" fillId="0" borderId="98" xfId="0" applyFont="1" applyBorder="1" applyAlignment="1">
      <alignment horizontal="center" vertical="top" wrapText="1"/>
    </xf>
    <xf numFmtId="0" fontId="11" fillId="0" borderId="99" xfId="0" applyFont="1" applyBorder="1" applyAlignment="1">
      <alignment horizontal="center" vertical="top" wrapText="1"/>
    </xf>
    <xf numFmtId="0" fontId="1" fillId="10" borderId="80" xfId="0" applyFont="1" applyFill="1" applyBorder="1" applyAlignment="1">
      <alignment horizontal="left"/>
    </xf>
    <xf numFmtId="0" fontId="10" fillId="0" borderId="100" xfId="0" applyFont="1" applyBorder="1" applyAlignment="1">
      <alignment horizontal="center" wrapText="1"/>
    </xf>
    <xf numFmtId="0" fontId="3" fillId="10" borderId="80" xfId="0" applyFont="1" applyFill="1" applyBorder="1" applyAlignment="1">
      <alignment horizontal="right"/>
    </xf>
    <xf numFmtId="0" fontId="1" fillId="10" borderId="91" xfId="0" applyFont="1" applyFill="1" applyBorder="1" applyAlignment="1">
      <alignment horizontal="left"/>
    </xf>
    <xf numFmtId="0" fontId="10" fillId="5" borderId="97" xfId="0" applyFont="1" applyFill="1" applyBorder="1" applyAlignment="1">
      <alignment horizontal="center" vertical="center" wrapText="1"/>
    </xf>
    <xf numFmtId="0" fontId="10" fillId="5" borderId="51" xfId="0" applyFont="1" applyFill="1" applyBorder="1" applyAlignment="1">
      <alignment horizontal="center" vertical="center" wrapText="1"/>
    </xf>
    <xf numFmtId="0" fontId="10" fillId="0" borderId="44" xfId="0" applyFont="1" applyBorder="1" applyAlignment="1">
      <alignment horizontal="center" wrapText="1"/>
    </xf>
    <xf numFmtId="0" fontId="10" fillId="0" borderId="27" xfId="0" applyFont="1" applyBorder="1" applyAlignment="1">
      <alignment horizontal="center" wrapText="1"/>
    </xf>
    <xf numFmtId="0" fontId="10" fillId="5" borderId="39" xfId="0" applyFont="1" applyFill="1" applyBorder="1" applyAlignment="1">
      <alignment horizontal="center" wrapText="1"/>
    </xf>
    <xf numFmtId="0" fontId="10" fillId="5" borderId="36" xfId="0" applyFont="1" applyFill="1" applyBorder="1" applyAlignment="1">
      <alignment horizontal="center" wrapText="1"/>
    </xf>
    <xf numFmtId="0" fontId="10" fillId="5" borderId="50" xfId="0" applyFont="1" applyFill="1" applyBorder="1" applyAlignment="1">
      <alignment horizontal="center" vertical="center" wrapText="1"/>
    </xf>
    <xf numFmtId="0" fontId="10" fillId="5" borderId="84" xfId="0" applyFont="1" applyFill="1" applyBorder="1" applyAlignment="1">
      <alignment horizontal="center" vertical="center" wrapText="1"/>
    </xf>
    <xf numFmtId="0" fontId="10" fillId="5" borderId="95" xfId="0" applyFont="1" applyFill="1" applyBorder="1" applyAlignment="1">
      <alignment horizontal="center" vertical="center" wrapText="1"/>
    </xf>
    <xf numFmtId="0" fontId="10" fillId="0" borderId="70" xfId="0" applyFont="1" applyBorder="1" applyAlignment="1">
      <alignment horizontal="center" wrapText="1"/>
    </xf>
    <xf numFmtId="0" fontId="10" fillId="5" borderId="7" xfId="0" applyFont="1" applyFill="1" applyBorder="1" applyAlignment="1">
      <alignment horizontal="center" vertical="center" wrapText="1"/>
    </xf>
    <xf numFmtId="0" fontId="27" fillId="0" borderId="36" xfId="0" applyFont="1" applyBorder="1" applyAlignment="1">
      <alignment horizontal="center" wrapText="1"/>
    </xf>
    <xf numFmtId="0" fontId="27" fillId="0" borderId="37" xfId="0" applyFont="1" applyBorder="1" applyAlignment="1">
      <alignment horizontal="center" wrapText="1"/>
    </xf>
    <xf numFmtId="0" fontId="10" fillId="0" borderId="49" xfId="0" applyFont="1" applyBorder="1" applyAlignment="1">
      <alignment horizontal="center" vertical="top" wrapText="1"/>
    </xf>
    <xf numFmtId="0" fontId="11" fillId="0" borderId="25" xfId="0" applyFont="1" applyBorder="1" applyAlignment="1"/>
    <xf numFmtId="0" fontId="8" fillId="0" borderId="4" xfId="0" applyFont="1" applyBorder="1" applyAlignment="1">
      <alignment horizontal="center" vertical="top" wrapText="1"/>
    </xf>
    <xf numFmtId="0" fontId="10" fillId="0" borderId="47" xfId="0" applyFont="1" applyBorder="1" applyAlignment="1">
      <alignment horizontal="center" vertical="top" wrapText="1"/>
    </xf>
    <xf numFmtId="0" fontId="10" fillId="0" borderId="46" xfId="0" applyFont="1" applyBorder="1" applyAlignment="1">
      <alignment horizontal="center" vertical="top" wrapText="1"/>
    </xf>
    <xf numFmtId="0" fontId="10" fillId="0" borderId="48" xfId="0" applyFont="1" applyBorder="1" applyAlignment="1">
      <alignment horizontal="center" vertical="top" wrapText="1"/>
    </xf>
    <xf numFmtId="0" fontId="11" fillId="8" borderId="95" xfId="0" applyFont="1" applyFill="1" applyBorder="1" applyAlignment="1">
      <alignment horizontal="center"/>
    </xf>
    <xf numFmtId="0" fontId="11" fillId="8" borderId="83" xfId="0" applyFont="1" applyFill="1" applyBorder="1" applyAlignment="1"/>
    <xf numFmtId="0" fontId="10" fillId="5" borderId="6" xfId="0" applyFont="1" applyFill="1" applyBorder="1" applyAlignment="1">
      <alignment horizontal="center" vertical="top" wrapText="1"/>
    </xf>
    <xf numFmtId="0" fontId="11" fillId="0" borderId="83" xfId="0" applyFont="1" applyBorder="1" applyAlignment="1"/>
    <xf numFmtId="0" fontId="11" fillId="0" borderId="23" xfId="0" applyFont="1" applyBorder="1" applyAlignment="1"/>
    <xf numFmtId="0" fontId="24" fillId="5" borderId="8" xfId="0" applyFont="1" applyFill="1" applyBorder="1" applyAlignment="1">
      <alignment horizontal="center"/>
    </xf>
    <xf numFmtId="0" fontId="11" fillId="0" borderId="98" xfId="0" applyFont="1" applyBorder="1" applyAlignment="1"/>
    <xf numFmtId="0" fontId="11" fillId="0" borderId="99" xfId="0" applyFont="1" applyBorder="1" applyAlignment="1"/>
    <xf numFmtId="0" fontId="11" fillId="5" borderId="49" xfId="0" applyFont="1" applyFill="1" applyBorder="1" applyAlignment="1">
      <alignment horizontal="center"/>
    </xf>
    <xf numFmtId="0" fontId="11" fillId="5" borderId="48" xfId="0" applyFont="1" applyFill="1" applyBorder="1" applyAlignment="1">
      <alignment horizontal="center"/>
    </xf>
    <xf numFmtId="0" fontId="10" fillId="0" borderId="10" xfId="0" applyFont="1" applyBorder="1" applyAlignment="1">
      <alignment horizontal="center" vertical="top" wrapText="1"/>
    </xf>
    <xf numFmtId="0" fontId="10" fillId="0" borderId="43" xfId="0" applyFont="1" applyBorder="1" applyAlignment="1">
      <alignment horizontal="center" vertical="top" wrapText="1"/>
    </xf>
    <xf numFmtId="0" fontId="11" fillId="5" borderId="101" xfId="0" applyFont="1" applyFill="1" applyBorder="1" applyAlignment="1">
      <alignment horizontal="left" vertical="center"/>
    </xf>
    <xf numFmtId="0" fontId="11" fillId="5" borderId="102" xfId="0" applyFont="1" applyFill="1" applyBorder="1" applyAlignment="1">
      <alignment horizontal="left" vertical="center"/>
    </xf>
    <xf numFmtId="0" fontId="11" fillId="0" borderId="0" xfId="0" applyFont="1" applyAlignment="1">
      <alignment horizontal="left" vertical="center"/>
    </xf>
    <xf numFmtId="0" fontId="23" fillId="0" borderId="12" xfId="0" applyFont="1" applyBorder="1" applyAlignment="1">
      <alignment horizontal="center" vertical="center"/>
    </xf>
    <xf numFmtId="16" fontId="11" fillId="0" borderId="8" xfId="0" applyNumberFormat="1" applyFont="1" applyBorder="1" applyAlignment="1">
      <alignment horizontal="center" vertical="center"/>
    </xf>
    <xf numFmtId="16" fontId="11" fillId="0" borderId="98" xfId="0" applyNumberFormat="1" applyFont="1" applyBorder="1" applyAlignment="1">
      <alignment horizontal="center" vertical="center"/>
    </xf>
    <xf numFmtId="16" fontId="11" fillId="0" borderId="99" xfId="0" applyNumberFormat="1" applyFont="1" applyBorder="1" applyAlignment="1">
      <alignment horizontal="center" vertical="center"/>
    </xf>
    <xf numFmtId="0" fontId="11" fillId="0" borderId="24" xfId="0" applyFont="1" applyBorder="1" applyAlignment="1">
      <alignment horizontal="center" vertical="center"/>
    </xf>
    <xf numFmtId="0" fontId="11" fillId="0" borderId="100" xfId="0" applyFont="1" applyBorder="1" applyAlignment="1">
      <alignment horizontal="center" vertical="center"/>
    </xf>
    <xf numFmtId="0" fontId="11" fillId="0" borderId="25" xfId="0" applyFont="1" applyBorder="1" applyAlignment="1">
      <alignment horizontal="center" vertical="center"/>
    </xf>
    <xf numFmtId="0" fontId="11" fillId="0" borderId="0" xfId="0" applyFont="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3" fillId="11" borderId="138" xfId="0" applyFont="1" applyFill="1" applyBorder="1" applyAlignment="1">
      <alignment horizontal="center" vertical="center" wrapText="1"/>
    </xf>
    <xf numFmtId="0" fontId="3" fillId="11" borderId="139" xfId="0" applyFont="1" applyFill="1" applyBorder="1" applyAlignment="1">
      <alignment horizontal="center" vertical="center" wrapText="1"/>
    </xf>
    <xf numFmtId="0" fontId="4" fillId="11" borderId="138" xfId="0" applyFont="1" applyFill="1" applyBorder="1" applyAlignment="1">
      <alignment horizontal="center" vertical="center"/>
    </xf>
    <xf numFmtId="0" fontId="4" fillId="11" borderId="139" xfId="0" applyFont="1" applyFill="1" applyBorder="1" applyAlignment="1">
      <alignment horizontal="center" vertical="center"/>
    </xf>
    <xf numFmtId="0" fontId="23" fillId="5" borderId="8" xfId="0" applyFont="1" applyFill="1" applyBorder="1" applyAlignment="1">
      <alignment horizontal="center"/>
    </xf>
    <xf numFmtId="0" fontId="23" fillId="5" borderId="98" xfId="0" applyFont="1" applyFill="1" applyBorder="1" applyAlignment="1">
      <alignment horizontal="center"/>
    </xf>
    <xf numFmtId="0" fontId="23" fillId="5" borderId="99" xfId="0" applyFont="1" applyFill="1" applyBorder="1" applyAlignment="1">
      <alignment horizontal="center"/>
    </xf>
    <xf numFmtId="0" fontId="10" fillId="5" borderId="49" xfId="0" applyFont="1" applyFill="1" applyBorder="1" applyAlignment="1">
      <alignment horizontal="center" vertical="top" wrapText="1"/>
    </xf>
    <xf numFmtId="0" fontId="10" fillId="5" borderId="48" xfId="0" applyFont="1" applyFill="1" applyBorder="1" applyAlignment="1">
      <alignment horizontal="center" vertical="top"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48" xfId="0" applyFont="1" applyBorder="1" applyAlignment="1">
      <alignment horizontal="center" vertical="center" wrapText="1"/>
    </xf>
    <xf numFmtId="0" fontId="10" fillId="0" borderId="99" xfId="0" applyFont="1" applyBorder="1" applyAlignment="1">
      <alignment horizontal="center" vertical="center" wrapText="1"/>
    </xf>
    <xf numFmtId="0" fontId="11" fillId="0" borderId="47" xfId="0" applyFont="1" applyBorder="1" applyAlignment="1">
      <alignment horizontal="center" vertical="center" wrapText="1"/>
    </xf>
    <xf numFmtId="0" fontId="11" fillId="0" borderId="23" xfId="0" applyFont="1" applyBorder="1" applyAlignment="1">
      <alignment horizontal="center" vertical="center" wrapText="1"/>
    </xf>
    <xf numFmtId="0" fontId="10" fillId="0" borderId="6" xfId="0" applyFont="1" applyBorder="1" applyAlignment="1">
      <alignment horizontal="center" wrapText="1"/>
    </xf>
    <xf numFmtId="0" fontId="10" fillId="0" borderId="95" xfId="0" applyFont="1" applyBorder="1" applyAlignment="1">
      <alignment horizontal="center" wrapText="1"/>
    </xf>
    <xf numFmtId="0" fontId="10" fillId="0" borderId="51" xfId="0" applyFont="1" applyBorder="1" applyAlignment="1">
      <alignment horizontal="center" wrapText="1"/>
    </xf>
    <xf numFmtId="0" fontId="10" fillId="0" borderId="97" xfId="0" applyFont="1" applyBorder="1" applyAlignment="1">
      <alignment horizontal="center" wrapText="1"/>
    </xf>
    <xf numFmtId="0" fontId="10" fillId="0" borderId="83" xfId="0" applyFont="1" applyBorder="1" applyAlignment="1">
      <alignment horizontal="center" wrapText="1"/>
    </xf>
    <xf numFmtId="0" fontId="6" fillId="0" borderId="0" xfId="0" applyFont="1" applyAlignment="1">
      <alignment horizontal="center" wrapText="1"/>
    </xf>
    <xf numFmtId="0" fontId="0" fillId="0" borderId="48" xfId="0" applyBorder="1" applyAlignment="1">
      <alignment horizontal="center" vertical="top" wrapText="1"/>
    </xf>
    <xf numFmtId="0" fontId="0" fillId="0" borderId="25" xfId="0" applyBorder="1" applyAlignment="1">
      <alignment horizontal="center"/>
    </xf>
    <xf numFmtId="0" fontId="11" fillId="0" borderId="49" xfId="0" applyFont="1" applyBorder="1" applyAlignment="1">
      <alignment horizontal="center" vertical="center" wrapText="1"/>
    </xf>
    <xf numFmtId="0" fontId="11" fillId="0" borderId="25" xfId="0" applyFont="1" applyBorder="1" applyAlignment="1">
      <alignment horizontal="center" vertical="center" wrapText="1"/>
    </xf>
    <xf numFmtId="0" fontId="4" fillId="0" borderId="0" xfId="0" applyFont="1" applyAlignment="1">
      <alignment horizontal="center"/>
    </xf>
    <xf numFmtId="0" fontId="1" fillId="10" borderId="69" xfId="0" applyFont="1" applyFill="1" applyBorder="1" applyAlignment="1">
      <alignment horizontal="left"/>
    </xf>
    <xf numFmtId="0" fontId="1" fillId="0" borderId="96" xfId="0" applyFont="1" applyBorder="1" applyAlignment="1" applyProtection="1">
      <alignment horizontal="left" vertical="center" wrapText="1"/>
      <protection locked="0"/>
    </xf>
    <xf numFmtId="0" fontId="0" fillId="0" borderId="96" xfId="0" applyBorder="1" applyAlignment="1" applyProtection="1">
      <alignment horizontal="left" vertical="center" wrapText="1"/>
      <protection locked="0"/>
    </xf>
    <xf numFmtId="0" fontId="0" fillId="0" borderId="23" xfId="0" applyBorder="1" applyAlignment="1" applyProtection="1">
      <alignment horizontal="left" vertical="center" wrapText="1"/>
      <protection locked="0"/>
    </xf>
    <xf numFmtId="0" fontId="0" fillId="0" borderId="100" xfId="0" applyBorder="1" applyAlignment="1" applyProtection="1">
      <alignment horizontal="left" vertical="center" wrapText="1"/>
      <protection locked="0"/>
    </xf>
    <xf numFmtId="0" fontId="0" fillId="0" borderId="25" xfId="0" applyBorder="1" applyAlignment="1" applyProtection="1">
      <alignment horizontal="left" vertical="center" wrapText="1"/>
      <protection locked="0"/>
    </xf>
    <xf numFmtId="0" fontId="4" fillId="5" borderId="98" xfId="0" applyFont="1" applyFill="1" applyBorder="1" applyAlignment="1" applyProtection="1">
      <alignment horizontal="center"/>
      <protection locked="0"/>
    </xf>
    <xf numFmtId="0" fontId="4" fillId="5" borderId="99" xfId="0" applyFont="1" applyFill="1" applyBorder="1" applyAlignment="1" applyProtection="1">
      <alignment horizontal="center"/>
      <protection locked="0"/>
    </xf>
    <xf numFmtId="0" fontId="23" fillId="0" borderId="12" xfId="0" applyFont="1" applyBorder="1" applyAlignment="1" applyProtection="1">
      <alignment horizontal="center"/>
      <protection locked="0"/>
    </xf>
    <xf numFmtId="0" fontId="23" fillId="0" borderId="0" xfId="0" applyFont="1" applyAlignment="1" applyProtection="1">
      <alignment horizontal="center"/>
      <protection locked="0"/>
    </xf>
    <xf numFmtId="0" fontId="1" fillId="0" borderId="47" xfId="0" applyFont="1" applyBorder="1" applyAlignment="1" applyProtection="1">
      <alignment horizontal="left" vertical="center" wrapText="1"/>
      <protection locked="0"/>
    </xf>
    <xf numFmtId="0" fontId="0" fillId="0" borderId="47" xfId="0" applyBorder="1" applyAlignment="1" applyProtection="1">
      <alignment horizontal="left" vertical="center" wrapText="1"/>
      <protection locked="0"/>
    </xf>
    <xf numFmtId="0" fontId="0" fillId="10" borderId="74" xfId="0" applyFill="1" applyBorder="1" applyAlignment="1">
      <alignment horizontal="center"/>
    </xf>
    <xf numFmtId="0" fontId="0" fillId="10" borderId="86" xfId="0" applyFill="1" applyBorder="1" applyAlignment="1">
      <alignment horizontal="center"/>
    </xf>
    <xf numFmtId="0" fontId="3" fillId="10" borderId="14"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10" borderId="65" xfId="0" applyFont="1" applyFill="1" applyBorder="1" applyAlignment="1">
      <alignment horizontal="center" vertical="center" wrapText="1"/>
    </xf>
    <xf numFmtId="0" fontId="3" fillId="10" borderId="103" xfId="0" applyFont="1" applyFill="1" applyBorder="1" applyAlignment="1">
      <alignment horizontal="center" vertical="center" wrapText="1"/>
    </xf>
    <xf numFmtId="0" fontId="3" fillId="10" borderId="26"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3" fillId="10" borderId="94" xfId="0" applyFont="1" applyFill="1" applyBorder="1" applyAlignment="1">
      <alignment horizontal="center" vertical="center" wrapText="1"/>
    </xf>
    <xf numFmtId="0" fontId="14" fillId="10" borderId="80" xfId="0" applyFont="1" applyFill="1" applyBorder="1" applyAlignment="1">
      <alignment horizontal="right"/>
    </xf>
    <xf numFmtId="14" fontId="0" fillId="10" borderId="80" xfId="0" applyNumberFormat="1" applyFill="1" applyBorder="1" applyAlignment="1">
      <alignment horizontal="left"/>
    </xf>
    <xf numFmtId="0" fontId="0" fillId="10" borderId="80" xfId="0" applyFill="1" applyBorder="1" applyAlignment="1">
      <alignment horizontal="left"/>
    </xf>
    <xf numFmtId="0" fontId="1" fillId="3" borderId="47" xfId="0" applyFont="1" applyFill="1" applyBorder="1" applyAlignment="1" applyProtection="1">
      <alignment horizontal="center" vertical="center"/>
      <protection locked="0"/>
    </xf>
    <xf numFmtId="0" fontId="1" fillId="3" borderId="96" xfId="0" applyFont="1" applyFill="1" applyBorder="1" applyAlignment="1" applyProtection="1">
      <alignment horizontal="center" vertical="center"/>
      <protection locked="0"/>
    </xf>
    <xf numFmtId="0" fontId="1" fillId="3" borderId="23" xfId="0" applyFont="1" applyFill="1" applyBorder="1" applyAlignment="1" applyProtection="1">
      <alignment horizontal="center" vertical="center"/>
      <protection locked="0"/>
    </xf>
    <xf numFmtId="0" fontId="1" fillId="3" borderId="49" xfId="0" applyFont="1" applyFill="1" applyBorder="1" applyAlignment="1" applyProtection="1">
      <alignment horizontal="center" vertical="center"/>
      <protection locked="0"/>
    </xf>
    <xf numFmtId="0" fontId="1" fillId="3" borderId="100" xfId="0" applyFont="1" applyFill="1" applyBorder="1" applyAlignment="1" applyProtection="1">
      <alignment horizontal="center" vertical="center"/>
      <protection locked="0"/>
    </xf>
    <xf numFmtId="0" fontId="1" fillId="3" borderId="25" xfId="0" applyFont="1" applyFill="1" applyBorder="1" applyAlignment="1" applyProtection="1">
      <alignment horizontal="center" vertical="center"/>
      <protection locked="0"/>
    </xf>
    <xf numFmtId="0" fontId="3" fillId="0" borderId="97" xfId="0" applyFont="1" applyBorder="1" applyAlignment="1" applyProtection="1">
      <alignment horizontal="center"/>
      <protection locked="0"/>
    </xf>
    <xf numFmtId="0" fontId="3" fillId="0" borderId="83" xfId="0" applyFont="1" applyBorder="1" applyAlignment="1" applyProtection="1">
      <alignment horizontal="center"/>
      <protection locked="0"/>
    </xf>
    <xf numFmtId="0" fontId="3" fillId="10" borderId="65" xfId="0" applyFont="1" applyFill="1" applyBorder="1" applyAlignment="1" applyProtection="1">
      <alignment horizontal="center" vertical="center" wrapText="1"/>
      <protection locked="0"/>
    </xf>
    <xf numFmtId="0" fontId="3" fillId="10" borderId="26" xfId="0" applyFont="1" applyFill="1" applyBorder="1" applyAlignment="1" applyProtection="1">
      <alignment horizontal="center" vertical="center" wrapText="1"/>
      <protection locked="0"/>
    </xf>
    <xf numFmtId="0" fontId="3" fillId="10" borderId="72" xfId="0" applyFont="1" applyFill="1" applyBorder="1" applyAlignment="1" applyProtection="1">
      <alignment horizontal="center" vertical="center" wrapText="1"/>
      <protection locked="0"/>
    </xf>
    <xf numFmtId="0" fontId="3" fillId="10" borderId="85" xfId="0" applyFont="1" applyFill="1" applyBorder="1" applyAlignment="1" applyProtection="1">
      <alignment horizontal="center" vertical="center" wrapText="1"/>
      <protection locked="0"/>
    </xf>
    <xf numFmtId="0" fontId="1" fillId="5" borderId="6" xfId="0" applyFont="1" applyFill="1" applyBorder="1" applyAlignment="1" applyProtection="1">
      <alignment horizontal="center"/>
      <protection locked="0"/>
    </xf>
    <xf numFmtId="0" fontId="1" fillId="5" borderId="95" xfId="0" applyFont="1" applyFill="1" applyBorder="1" applyAlignment="1" applyProtection="1">
      <alignment horizontal="center"/>
      <protection locked="0"/>
    </xf>
    <xf numFmtId="0" fontId="1" fillId="5" borderId="51" xfId="0" applyFont="1" applyFill="1" applyBorder="1" applyAlignment="1" applyProtection="1">
      <alignment horizontal="center"/>
      <protection locked="0"/>
    </xf>
    <xf numFmtId="0" fontId="3" fillId="10" borderId="73"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0" borderId="10" xfId="0" applyFont="1" applyFill="1" applyBorder="1" applyAlignment="1" applyProtection="1">
      <alignment horizontal="center" vertical="center"/>
      <protection locked="0"/>
    </xf>
    <xf numFmtId="0" fontId="3" fillId="10" borderId="98" xfId="0" applyFont="1" applyFill="1" applyBorder="1" applyAlignment="1" applyProtection="1">
      <alignment horizontal="center" vertical="center"/>
      <protection locked="0"/>
    </xf>
    <xf numFmtId="0" fontId="3" fillId="10" borderId="99" xfId="0" applyFont="1" applyFill="1" applyBorder="1" applyAlignment="1" applyProtection="1">
      <alignment horizontal="center" vertical="center"/>
      <protection locked="0"/>
    </xf>
    <xf numFmtId="0" fontId="3" fillId="10" borderId="47" xfId="0" applyFont="1" applyFill="1" applyBorder="1" applyAlignment="1" applyProtection="1">
      <alignment horizontal="center" vertical="center"/>
      <protection locked="0"/>
    </xf>
    <xf numFmtId="0" fontId="3" fillId="10" borderId="96" xfId="0" applyFont="1" applyFill="1" applyBorder="1" applyAlignment="1" applyProtection="1">
      <alignment horizontal="center" vertical="center"/>
      <protection locked="0"/>
    </xf>
    <xf numFmtId="0" fontId="3" fillId="10" borderId="23" xfId="0" applyFont="1" applyFill="1" applyBorder="1" applyAlignment="1" applyProtection="1">
      <alignment horizontal="center" vertical="center"/>
      <protection locked="0"/>
    </xf>
    <xf numFmtId="0" fontId="4" fillId="38" borderId="92" xfId="0" applyFont="1" applyFill="1" applyBorder="1" applyAlignment="1" applyProtection="1">
      <alignment horizontal="center" vertical="center" wrapText="1"/>
      <protection locked="0"/>
    </xf>
    <xf numFmtId="0" fontId="4" fillId="38" borderId="141" xfId="0" applyFont="1" applyFill="1" applyBorder="1" applyAlignment="1" applyProtection="1">
      <alignment horizontal="center" vertical="center" wrapText="1"/>
      <protection locked="0"/>
    </xf>
    <xf numFmtId="0" fontId="4" fillId="38" borderId="93" xfId="0" applyFont="1" applyFill="1" applyBorder="1" applyAlignment="1" applyProtection="1">
      <alignment horizontal="center" vertical="center" wrapText="1"/>
      <protection locked="0"/>
    </xf>
    <xf numFmtId="0" fontId="3" fillId="10" borderId="10" xfId="0" applyFont="1" applyFill="1" applyBorder="1" applyAlignment="1" applyProtection="1">
      <alignment horizontal="center" vertical="center" wrapText="1"/>
      <protection locked="0"/>
    </xf>
    <xf numFmtId="0" fontId="3" fillId="10" borderId="43" xfId="0" applyFont="1" applyFill="1" applyBorder="1" applyAlignment="1" applyProtection="1">
      <alignment horizontal="center" vertical="center" wrapText="1"/>
      <protection locked="0"/>
    </xf>
    <xf numFmtId="0" fontId="3" fillId="10" borderId="104" xfId="0" applyFont="1" applyFill="1" applyBorder="1" applyAlignment="1" applyProtection="1">
      <alignment horizontal="center" vertical="center" wrapText="1"/>
      <protection locked="0"/>
    </xf>
    <xf numFmtId="0" fontId="3" fillId="10" borderId="105" xfId="0" applyFont="1" applyFill="1" applyBorder="1" applyAlignment="1" applyProtection="1">
      <alignment horizontal="center" vertical="center" wrapText="1"/>
      <protection locked="0"/>
    </xf>
    <xf numFmtId="0" fontId="3" fillId="10" borderId="2" xfId="0" applyFont="1" applyFill="1" applyBorder="1" applyAlignment="1" applyProtection="1">
      <alignment horizontal="center" vertical="center" wrapText="1"/>
      <protection locked="0"/>
    </xf>
    <xf numFmtId="0" fontId="3" fillId="10" borderId="20" xfId="0" applyFont="1" applyFill="1" applyBorder="1" applyAlignment="1" applyProtection="1">
      <alignment horizontal="center" vertical="center" wrapText="1"/>
      <protection locked="0"/>
    </xf>
    <xf numFmtId="0" fontId="1" fillId="3" borderId="47" xfId="0" applyFont="1" applyFill="1" applyBorder="1" applyAlignment="1" applyProtection="1">
      <alignment horizontal="center" vertical="center" wrapText="1"/>
      <protection locked="0"/>
    </xf>
    <xf numFmtId="0" fontId="1" fillId="3" borderId="46" xfId="0" applyFont="1" applyFill="1" applyBorder="1" applyAlignment="1" applyProtection="1">
      <alignment horizontal="center" vertical="center" wrapText="1"/>
      <protection locked="0"/>
    </xf>
    <xf numFmtId="0" fontId="1" fillId="8" borderId="47" xfId="0" applyFont="1" applyFill="1" applyBorder="1" applyAlignment="1" applyProtection="1">
      <alignment horizontal="center" vertical="center" wrapText="1"/>
      <protection locked="0"/>
    </xf>
    <xf numFmtId="0" fontId="1" fillId="8" borderId="46" xfId="0" applyFont="1" applyFill="1" applyBorder="1" applyAlignment="1" applyProtection="1">
      <alignment horizontal="center" vertical="center" wrapText="1"/>
      <protection locked="0"/>
    </xf>
    <xf numFmtId="14" fontId="22" fillId="10" borderId="80" xfId="0" applyNumberFormat="1" applyFont="1" applyFill="1" applyBorder="1" applyAlignment="1">
      <alignment horizontal="center"/>
    </xf>
    <xf numFmtId="0" fontId="22" fillId="10" borderId="80" xfId="0" applyFont="1" applyFill="1" applyBorder="1" applyAlignment="1">
      <alignment horizontal="center"/>
    </xf>
    <xf numFmtId="0" fontId="1" fillId="3" borderId="49" xfId="0" applyFont="1" applyFill="1" applyBorder="1" applyAlignment="1" applyProtection="1">
      <alignment horizontal="center" vertical="center" wrapText="1"/>
      <protection locked="0"/>
    </xf>
    <xf numFmtId="0" fontId="1" fillId="3" borderId="48" xfId="0" applyFont="1" applyFill="1" applyBorder="1" applyAlignment="1" applyProtection="1">
      <alignment horizontal="center" vertical="center" wrapText="1"/>
      <protection locked="0"/>
    </xf>
    <xf numFmtId="0" fontId="1" fillId="8" borderId="49" xfId="0" applyFont="1" applyFill="1" applyBorder="1" applyAlignment="1" applyProtection="1">
      <alignment horizontal="center" vertical="center" wrapText="1"/>
      <protection locked="0"/>
    </xf>
    <xf numFmtId="0" fontId="1" fillId="8" borderId="48" xfId="0" applyFont="1" applyFill="1" applyBorder="1" applyAlignment="1" applyProtection="1">
      <alignment horizontal="center" vertical="center" wrapText="1"/>
      <protection locked="0"/>
    </xf>
    <xf numFmtId="0" fontId="1" fillId="3" borderId="44" xfId="0" applyFont="1" applyFill="1" applyBorder="1" applyAlignment="1" applyProtection="1">
      <alignment horizontal="center" vertical="center" wrapText="1"/>
      <protection locked="0"/>
    </xf>
    <xf numFmtId="0" fontId="1" fillId="3" borderId="27" xfId="0" applyFont="1" applyFill="1" applyBorder="1" applyAlignment="1" applyProtection="1">
      <alignment horizontal="center" vertical="center" wrapText="1"/>
      <protection locked="0"/>
    </xf>
    <xf numFmtId="0" fontId="1" fillId="8" borderId="44" xfId="0" applyFont="1" applyFill="1" applyBorder="1" applyAlignment="1" applyProtection="1">
      <alignment horizontal="center" vertical="center" wrapText="1"/>
      <protection locked="0"/>
    </xf>
    <xf numFmtId="0" fontId="1" fillId="8" borderId="27" xfId="0" applyFont="1" applyFill="1" applyBorder="1" applyAlignment="1" applyProtection="1">
      <alignment horizontal="center" vertical="center" wrapText="1"/>
      <protection locked="0"/>
    </xf>
    <xf numFmtId="0" fontId="3" fillId="10" borderId="18" xfId="0" applyFont="1" applyFill="1" applyBorder="1" applyAlignment="1" applyProtection="1">
      <alignment horizontal="center" vertical="center"/>
      <protection locked="0"/>
    </xf>
    <xf numFmtId="0" fontId="3" fillId="10" borderId="39" xfId="0" applyFont="1" applyFill="1" applyBorder="1" applyAlignment="1" applyProtection="1">
      <alignment horizontal="center" vertical="center"/>
      <protection locked="0"/>
    </xf>
    <xf numFmtId="0" fontId="3" fillId="10" borderId="26" xfId="0" applyFont="1" applyFill="1" applyBorder="1" applyAlignment="1" applyProtection="1">
      <alignment horizontal="center" vertical="center"/>
      <protection locked="0"/>
    </xf>
    <xf numFmtId="0" fontId="3" fillId="10" borderId="65" xfId="0" applyFont="1" applyFill="1" applyBorder="1" applyAlignment="1" applyProtection="1">
      <alignment horizontal="center" vertical="center"/>
      <protection locked="0"/>
    </xf>
    <xf numFmtId="0" fontId="35" fillId="11" borderId="97" xfId="0" applyFont="1" applyFill="1" applyBorder="1" applyAlignment="1">
      <alignment horizontal="center" vertical="center"/>
    </xf>
    <xf numFmtId="0" fontId="35" fillId="11" borderId="51" xfId="0" applyFont="1" applyFill="1" applyBorder="1" applyAlignment="1">
      <alignment horizontal="center" vertical="center"/>
    </xf>
    <xf numFmtId="0" fontId="35" fillId="11" borderId="97" xfId="0" applyFont="1" applyFill="1" applyBorder="1" applyAlignment="1">
      <alignment horizontal="center" vertical="center" wrapText="1"/>
    </xf>
    <xf numFmtId="0" fontId="35" fillId="11" borderId="51" xfId="0" applyFont="1" applyFill="1" applyBorder="1" applyAlignment="1">
      <alignment horizontal="center" vertical="center" wrapText="1"/>
    </xf>
    <xf numFmtId="0" fontId="1" fillId="0" borderId="4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04" xfId="0" applyFont="1" applyBorder="1" applyAlignment="1">
      <alignment horizontal="center" vertical="center" wrapText="1"/>
    </xf>
    <xf numFmtId="0" fontId="0" fillId="0" borderId="105" xfId="0" applyBorder="1" applyAlignment="1">
      <alignment horizontal="center" vertical="center" wrapText="1"/>
    </xf>
    <xf numFmtId="0" fontId="1" fillId="0" borderId="47" xfId="0" applyFont="1" applyBorder="1" applyAlignment="1">
      <alignment horizontal="center" vertical="center"/>
    </xf>
    <xf numFmtId="0" fontId="1" fillId="0" borderId="46" xfId="0" applyFont="1" applyBorder="1" applyAlignment="1">
      <alignment horizontal="center" vertical="center"/>
    </xf>
    <xf numFmtId="0" fontId="3" fillId="11" borderId="47" xfId="0" applyFont="1" applyFill="1" applyBorder="1" applyAlignment="1">
      <alignment horizontal="center" vertical="center"/>
    </xf>
    <xf numFmtId="0" fontId="3" fillId="11" borderId="46" xfId="0" applyFont="1" applyFill="1" applyBorder="1" applyAlignment="1">
      <alignment horizontal="center" vertical="center"/>
    </xf>
    <xf numFmtId="0" fontId="1" fillId="0" borderId="49" xfId="0" applyFont="1" applyBorder="1" applyAlignment="1">
      <alignment horizontal="center" vertical="center"/>
    </xf>
    <xf numFmtId="0" fontId="1" fillId="0" borderId="48" xfId="0" applyFont="1" applyBorder="1" applyAlignment="1">
      <alignment horizontal="center" vertical="center"/>
    </xf>
    <xf numFmtId="0" fontId="11" fillId="11" borderId="6" xfId="0" applyFont="1" applyFill="1" applyBorder="1" applyAlignment="1">
      <alignment horizontal="center" wrapText="1"/>
    </xf>
    <xf numFmtId="0" fontId="0" fillId="11" borderId="51" xfId="0" applyFill="1" applyBorder="1" applyAlignment="1"/>
    <xf numFmtId="0" fontId="11" fillId="11" borderId="101" xfId="0" applyFont="1" applyFill="1" applyBorder="1" applyAlignment="1">
      <alignment horizontal="center"/>
    </xf>
    <xf numFmtId="20" fontId="11" fillId="7" borderId="6" xfId="0" applyNumberFormat="1" applyFont="1" applyFill="1" applyBorder="1" applyAlignment="1">
      <alignment horizontal="center" wrapText="1"/>
    </xf>
    <xf numFmtId="20" fontId="11" fillId="7" borderId="83" xfId="0" applyNumberFormat="1" applyFont="1" applyFill="1" applyBorder="1" applyAlignment="1">
      <alignment horizontal="center" wrapText="1"/>
    </xf>
    <xf numFmtId="0" fontId="11" fillId="7" borderId="56" xfId="0" applyFont="1" applyFill="1" applyBorder="1" applyAlignment="1">
      <alignment horizontal="center"/>
    </xf>
    <xf numFmtId="0" fontId="11" fillId="11" borderId="102" xfId="0" applyFont="1" applyFill="1" applyBorder="1" applyAlignment="1">
      <alignment horizontal="center"/>
    </xf>
    <xf numFmtId="0" fontId="11" fillId="7" borderId="102" xfId="0" applyFont="1" applyFill="1" applyBorder="1" applyAlignment="1">
      <alignment horizontal="center"/>
    </xf>
    <xf numFmtId="0" fontId="1" fillId="0" borderId="49" xfId="0" applyFont="1" applyBorder="1" applyAlignment="1">
      <alignment horizontal="center" vertical="center" wrapText="1"/>
    </xf>
    <xf numFmtId="0" fontId="1" fillId="0" borderId="48" xfId="0" applyFont="1" applyBorder="1" applyAlignment="1">
      <alignment horizontal="center" vertical="center" wrapText="1"/>
    </xf>
    <xf numFmtId="0" fontId="5" fillId="0" borderId="8" xfId="0" applyFont="1" applyBorder="1" applyAlignment="1">
      <alignment horizontal="center" vertical="center"/>
    </xf>
    <xf numFmtId="0" fontId="5" fillId="0" borderId="98" xfId="0" applyFont="1" applyBorder="1" applyAlignment="1">
      <alignment horizontal="center" vertical="center"/>
    </xf>
    <xf numFmtId="0" fontId="5" fillId="0" borderId="99" xfId="0" applyFont="1" applyBorder="1" applyAlignment="1">
      <alignment horizontal="center" vertical="center"/>
    </xf>
    <xf numFmtId="0" fontId="11" fillId="11" borderId="56" xfId="0" applyFont="1" applyFill="1" applyBorder="1" applyAlignment="1">
      <alignment horizontal="center"/>
    </xf>
    <xf numFmtId="0" fontId="5" fillId="0" borderId="24" xfId="0" applyFont="1" applyBorder="1" applyAlignment="1">
      <alignment horizontal="center" vertical="center"/>
    </xf>
    <xf numFmtId="0" fontId="5" fillId="0" borderId="100" xfId="0" applyFont="1" applyBorder="1" applyAlignment="1">
      <alignment horizontal="center" vertical="center"/>
    </xf>
    <xf numFmtId="0" fontId="5" fillId="0" borderId="25" xfId="0" applyFont="1" applyBorder="1" applyAlignment="1">
      <alignment horizontal="center" vertical="center"/>
    </xf>
    <xf numFmtId="0" fontId="11" fillId="11" borderId="120"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11" borderId="121" xfId="0" applyFont="1" applyFill="1" applyBorder="1" applyAlignment="1">
      <alignment horizontal="center" vertical="center" wrapText="1"/>
    </xf>
    <xf numFmtId="0" fontId="11" fillId="11" borderId="122" xfId="0" applyFont="1" applyFill="1" applyBorder="1" applyAlignment="1">
      <alignment horizontal="center" wrapText="1"/>
    </xf>
    <xf numFmtId="0" fontId="11" fillId="7" borderId="101" xfId="0" applyFont="1" applyFill="1" applyBorder="1" applyAlignment="1">
      <alignment horizontal="center"/>
    </xf>
    <xf numFmtId="20" fontId="11" fillId="7" borderId="14" xfId="0" applyNumberFormat="1" applyFont="1" applyFill="1" applyBorder="1" applyAlignment="1">
      <alignment horizontal="center" wrapText="1"/>
    </xf>
    <xf numFmtId="20" fontId="11" fillId="7" borderId="11" xfId="0" applyNumberFormat="1" applyFont="1" applyFill="1" applyBorder="1" applyAlignment="1">
      <alignment horizontal="center" wrapText="1"/>
    </xf>
    <xf numFmtId="0" fontId="0" fillId="11" borderId="121" xfId="0" applyFill="1" applyBorder="1" applyAlignment="1">
      <alignment vertical="center"/>
    </xf>
    <xf numFmtId="0" fontId="0" fillId="11" borderId="40" xfId="0" applyFill="1" applyBorder="1" applyAlignment="1">
      <alignment vertical="center"/>
    </xf>
    <xf numFmtId="0" fontId="0" fillId="11" borderId="123" xfId="0" applyFill="1" applyBorder="1" applyAlignment="1">
      <alignment vertical="center"/>
    </xf>
    <xf numFmtId="0" fontId="0" fillId="11" borderId="9" xfId="0" applyFill="1" applyBorder="1" applyAlignment="1">
      <alignment vertical="center"/>
    </xf>
    <xf numFmtId="0" fontId="0" fillId="11" borderId="21" xfId="0" applyFill="1" applyBorder="1" applyAlignment="1">
      <alignment vertical="center"/>
    </xf>
    <xf numFmtId="0" fontId="4" fillId="11" borderId="6" xfId="0" applyFont="1" applyFill="1" applyBorder="1" applyAlignment="1">
      <alignment horizontal="center"/>
    </xf>
    <xf numFmtId="0" fontId="4" fillId="11" borderId="106" xfId="0" applyFont="1" applyFill="1" applyBorder="1" applyAlignment="1">
      <alignment horizontal="center"/>
    </xf>
    <xf numFmtId="0" fontId="4" fillId="11" borderId="107" xfId="0" applyFont="1" applyFill="1" applyBorder="1" applyAlignment="1">
      <alignment horizontal="center"/>
    </xf>
    <xf numFmtId="0" fontId="4" fillId="11" borderId="83" xfId="0" applyFont="1" applyFill="1" applyBorder="1" applyAlignment="1">
      <alignment horizontal="center"/>
    </xf>
    <xf numFmtId="20" fontId="11" fillId="7" borderId="8" xfId="0" applyNumberFormat="1" applyFont="1" applyFill="1" applyBorder="1" applyAlignment="1">
      <alignment horizontal="center" wrapText="1"/>
    </xf>
    <xf numFmtId="20" fontId="11" fillId="7" borderId="99" xfId="0" applyNumberFormat="1" applyFont="1" applyFill="1" applyBorder="1" applyAlignment="1">
      <alignment horizontal="center" wrapText="1"/>
    </xf>
    <xf numFmtId="0" fontId="5" fillId="11" borderId="6" xfId="0" applyFont="1" applyFill="1" applyBorder="1" applyAlignment="1">
      <alignment horizontal="center" vertical="center"/>
    </xf>
    <xf numFmtId="0" fontId="5" fillId="11" borderId="95" xfId="0" applyFont="1" applyFill="1" applyBorder="1" applyAlignment="1">
      <alignment horizontal="center" vertical="center"/>
    </xf>
    <xf numFmtId="0" fontId="5" fillId="11" borderId="83" xfId="0" applyFont="1" applyFill="1" applyBorder="1" applyAlignment="1">
      <alignment horizontal="center" vertical="center"/>
    </xf>
    <xf numFmtId="0" fontId="0" fillId="0" borderId="46" xfId="0" applyBorder="1" applyAlignment="1">
      <alignment horizontal="center" vertical="center" wrapText="1"/>
    </xf>
    <xf numFmtId="0" fontId="1" fillId="0" borderId="0" xfId="0" applyFont="1" applyAlignment="1">
      <alignment horizontal="center" wrapText="1"/>
    </xf>
    <xf numFmtId="0" fontId="5" fillId="0" borderId="0" xfId="0" applyFont="1" applyAlignment="1">
      <alignment horizontal="center" vertical="center"/>
    </xf>
    <xf numFmtId="0" fontId="1" fillId="0" borderId="16" xfId="0" applyFont="1" applyBorder="1" applyAlignment="1">
      <alignment horizontal="left" vertical="center" wrapText="1"/>
    </xf>
    <xf numFmtId="0" fontId="1" fillId="0" borderId="11" xfId="0" applyFont="1" applyBorder="1" applyAlignment="1">
      <alignment horizontal="left" vertical="center" wrapText="1"/>
    </xf>
    <xf numFmtId="0" fontId="1" fillId="0" borderId="1" xfId="0" applyFont="1" applyBorder="1" applyAlignment="1">
      <alignment horizontal="left" vertical="center" wrapText="1"/>
    </xf>
    <xf numFmtId="0" fontId="1" fillId="0" borderId="57" xfId="0" applyFont="1" applyBorder="1" applyAlignment="1">
      <alignment horizontal="left" vertical="center" wrapText="1"/>
    </xf>
    <xf numFmtId="0" fontId="5" fillId="11" borderId="17" xfId="0" applyFont="1" applyFill="1" applyBorder="1" applyAlignment="1">
      <alignment horizontal="center" vertical="center"/>
    </xf>
    <xf numFmtId="0" fontId="1" fillId="0" borderId="4" xfId="0" applyFont="1" applyBorder="1" applyAlignment="1">
      <alignment horizontal="center" wrapText="1"/>
    </xf>
    <xf numFmtId="0" fontId="5" fillId="11" borderId="18" xfId="0" applyFont="1" applyFill="1" applyBorder="1" applyAlignment="1">
      <alignment horizontal="center" vertical="center"/>
    </xf>
    <xf numFmtId="0" fontId="1" fillId="0" borderId="19" xfId="0" applyFont="1" applyBorder="1" applyAlignment="1">
      <alignment horizontal="left" vertical="center" wrapText="1"/>
    </xf>
    <xf numFmtId="0" fontId="1" fillId="0" borderId="94" xfId="0" applyFont="1" applyBorder="1" applyAlignment="1">
      <alignment horizontal="left" vertical="center" wrapText="1"/>
    </xf>
    <xf numFmtId="0" fontId="5" fillId="11" borderId="14"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98" xfId="0" applyFont="1" applyBorder="1" applyAlignment="1">
      <alignment horizontal="center" vertical="center" wrapText="1"/>
    </xf>
    <xf numFmtId="0" fontId="3" fillId="0" borderId="9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94" xfId="0" applyFont="1" applyBorder="1" applyAlignment="1">
      <alignment horizontal="center" vertical="center" wrapText="1"/>
    </xf>
    <xf numFmtId="0" fontId="0" fillId="0" borderId="0" xfId="0" applyAlignment="1">
      <alignment horizontal="center"/>
    </xf>
    <xf numFmtId="0" fontId="14" fillId="11" borderId="108" xfId="0" applyFont="1" applyFill="1" applyBorder="1" applyAlignment="1">
      <alignment horizontal="center" vertical="center" wrapText="1"/>
    </xf>
    <xf numFmtId="0" fontId="14" fillId="11" borderId="109" xfId="0" applyFont="1" applyFill="1" applyBorder="1" applyAlignment="1">
      <alignment horizontal="center" vertical="center" wrapText="1"/>
    </xf>
    <xf numFmtId="0" fontId="14" fillId="11" borderId="110" xfId="0" applyFont="1" applyFill="1" applyBorder="1" applyAlignment="1">
      <alignment horizontal="center" vertical="center" wrapText="1"/>
    </xf>
    <xf numFmtId="0" fontId="14" fillId="11" borderId="111" xfId="0" applyFont="1" applyFill="1" applyBorder="1" applyAlignment="1">
      <alignment horizontal="center" vertical="center" wrapText="1"/>
    </xf>
    <xf numFmtId="0" fontId="14" fillId="11" borderId="112" xfId="0" applyFont="1" applyFill="1" applyBorder="1" applyAlignment="1">
      <alignment horizontal="center" vertical="center" wrapText="1"/>
    </xf>
    <xf numFmtId="0" fontId="14" fillId="11" borderId="113" xfId="0" applyFont="1" applyFill="1" applyBorder="1" applyAlignment="1">
      <alignment horizontal="center" vertical="center" wrapText="1"/>
    </xf>
    <xf numFmtId="0" fontId="14" fillId="11" borderId="114" xfId="0" applyFont="1" applyFill="1" applyBorder="1" applyAlignment="1">
      <alignment horizontal="center" vertical="center" wrapText="1"/>
    </xf>
    <xf numFmtId="0" fontId="14" fillId="11" borderId="115" xfId="0" applyFont="1" applyFill="1" applyBorder="1" applyAlignment="1">
      <alignment horizontal="center" vertical="center" wrapText="1"/>
    </xf>
    <xf numFmtId="0" fontId="14" fillId="11" borderId="116" xfId="0" applyFont="1" applyFill="1" applyBorder="1" applyAlignment="1">
      <alignment horizontal="center" vertical="center" wrapText="1"/>
    </xf>
    <xf numFmtId="0" fontId="14" fillId="11" borderId="117" xfId="0" applyFont="1" applyFill="1" applyBorder="1" applyAlignment="1">
      <alignment horizontal="center" vertical="center" wrapText="1"/>
    </xf>
    <xf numFmtId="0" fontId="14" fillId="11" borderId="118" xfId="0" applyFont="1" applyFill="1" applyBorder="1" applyAlignment="1">
      <alignment horizontal="center" vertical="center" wrapText="1"/>
    </xf>
    <xf numFmtId="0" fontId="14" fillId="11" borderId="119" xfId="0" applyFont="1" applyFill="1" applyBorder="1" applyAlignment="1">
      <alignment horizontal="center" vertical="center" wrapText="1"/>
    </xf>
    <xf numFmtId="0" fontId="0" fillId="0" borderId="124" xfId="0"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0" fontId="0" fillId="0" borderId="93" xfId="0" applyBorder="1" applyAlignment="1">
      <alignment horizontal="center" vertical="center"/>
    </xf>
    <xf numFmtId="0" fontId="0" fillId="0" borderId="127" xfId="0" applyBorder="1" applyAlignment="1">
      <alignment horizontal="center" vertical="center"/>
    </xf>
    <xf numFmtId="0" fontId="0" fillId="0" borderId="128" xfId="0" applyBorder="1" applyAlignment="1">
      <alignment horizontal="center" vertical="center"/>
    </xf>
    <xf numFmtId="0" fontId="0" fillId="0" borderId="0" xfId="0" applyAlignment="1">
      <alignment horizontal="left" wrapText="1"/>
    </xf>
    <xf numFmtId="0" fontId="0" fillId="0" borderId="47" xfId="0"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0" fontId="0" fillId="0" borderId="78" xfId="0" applyBorder="1" applyAlignment="1">
      <alignment horizontal="center" vertical="center"/>
    </xf>
    <xf numFmtId="14" fontId="22" fillId="10" borderId="80" xfId="0" applyNumberFormat="1" applyFont="1" applyFill="1" applyBorder="1" applyAlignment="1">
      <alignment horizontal="left"/>
    </xf>
    <xf numFmtId="0" fontId="0" fillId="5" borderId="131" xfId="0" applyFill="1" applyBorder="1" applyAlignment="1">
      <alignment horizontal="center" vertical="center"/>
    </xf>
    <xf numFmtId="0" fontId="0" fillId="5" borderId="132" xfId="0" applyFill="1" applyBorder="1" applyAlignment="1">
      <alignment horizontal="center" vertical="center"/>
    </xf>
    <xf numFmtId="0" fontId="22" fillId="10" borderId="80" xfId="0" applyFont="1" applyFill="1" applyBorder="1" applyAlignment="1">
      <alignment horizontal="left"/>
    </xf>
    <xf numFmtId="0" fontId="22" fillId="10" borderId="91" xfId="0" applyFont="1" applyFill="1" applyBorder="1" applyAlignment="1">
      <alignment horizontal="left"/>
    </xf>
    <xf numFmtId="0" fontId="22" fillId="10" borderId="74" xfId="0" applyFont="1" applyFill="1" applyBorder="1" applyAlignment="1">
      <alignment horizontal="left"/>
    </xf>
    <xf numFmtId="0" fontId="22" fillId="10" borderId="86" xfId="0" applyFont="1" applyFill="1" applyBorder="1" applyAlignment="1">
      <alignment horizontal="left"/>
    </xf>
    <xf numFmtId="0" fontId="1" fillId="11" borderId="50" xfId="0" applyFont="1" applyFill="1" applyBorder="1" applyAlignment="1" applyProtection="1">
      <alignment horizontal="center" vertical="center"/>
      <protection hidden="1"/>
    </xf>
    <xf numFmtId="0" fontId="1" fillId="11" borderId="84" xfId="0" applyFont="1" applyFill="1" applyBorder="1" applyAlignment="1" applyProtection="1">
      <alignment horizontal="center" vertical="center"/>
      <protection hidden="1"/>
    </xf>
    <xf numFmtId="0" fontId="1" fillId="7" borderId="10" xfId="0" applyFont="1" applyFill="1" applyBorder="1" applyAlignment="1" applyProtection="1">
      <alignment horizontal="center" vertical="center" wrapText="1"/>
      <protection hidden="1"/>
    </xf>
    <xf numFmtId="0" fontId="1" fillId="7" borderId="98" xfId="0" applyFont="1" applyFill="1" applyBorder="1" applyAlignment="1" applyProtection="1">
      <alignment horizontal="center" vertical="center" wrapText="1"/>
      <protection hidden="1"/>
    </xf>
    <xf numFmtId="0" fontId="1" fillId="7" borderId="99" xfId="0" applyFont="1" applyFill="1" applyBorder="1" applyAlignment="1" applyProtection="1">
      <alignment horizontal="center" vertical="center" wrapText="1"/>
      <protection hidden="1"/>
    </xf>
    <xf numFmtId="0" fontId="1" fillId="11" borderId="97" xfId="0" applyFont="1" applyFill="1" applyBorder="1" applyAlignment="1" applyProtection="1">
      <alignment horizontal="center" vertical="center"/>
      <protection hidden="1"/>
    </xf>
    <xf numFmtId="0" fontId="1" fillId="11" borderId="95" xfId="0" applyFont="1" applyFill="1" applyBorder="1" applyAlignment="1" applyProtection="1">
      <alignment horizontal="center" vertical="center"/>
      <protection hidden="1"/>
    </xf>
    <xf numFmtId="0" fontId="1" fillId="11" borderId="83" xfId="0" applyFont="1" applyFill="1" applyBorder="1" applyAlignment="1" applyProtection="1">
      <alignment horizontal="center" vertical="center"/>
      <protection hidden="1"/>
    </xf>
    <xf numFmtId="0" fontId="1" fillId="7" borderId="47" xfId="0" applyFont="1" applyFill="1" applyBorder="1" applyAlignment="1" applyProtection="1">
      <alignment horizontal="center" vertical="center" wrapText="1"/>
      <protection hidden="1"/>
    </xf>
    <xf numFmtId="0" fontId="1" fillId="7" borderId="96" xfId="0" applyFont="1" applyFill="1" applyBorder="1" applyAlignment="1" applyProtection="1">
      <alignment horizontal="center" vertical="center" wrapText="1"/>
      <protection hidden="1"/>
    </xf>
    <xf numFmtId="0" fontId="1" fillId="7" borderId="23" xfId="0" applyFont="1" applyFill="1" applyBorder="1" applyAlignment="1" applyProtection="1">
      <alignment horizontal="center" vertical="center" wrapText="1"/>
      <protection hidden="1"/>
    </xf>
    <xf numFmtId="0" fontId="1" fillId="0" borderId="47" xfId="0" applyFont="1" applyBorder="1" applyAlignment="1" applyProtection="1">
      <alignment horizontal="center" vertical="center" wrapText="1"/>
      <protection hidden="1"/>
    </xf>
    <xf numFmtId="0" fontId="1" fillId="0" borderId="96" xfId="0" applyFont="1" applyBorder="1" applyAlignment="1" applyProtection="1">
      <alignment horizontal="center" vertical="center" wrapText="1"/>
      <protection hidden="1"/>
    </xf>
    <xf numFmtId="0" fontId="1" fillId="0" borderId="23" xfId="0" applyFont="1" applyBorder="1" applyAlignment="1" applyProtection="1">
      <alignment horizontal="center" vertical="center" wrapText="1"/>
      <protection hidden="1"/>
    </xf>
    <xf numFmtId="0" fontId="8" fillId="11" borderId="17" xfId="0" applyFont="1" applyFill="1" applyBorder="1" applyAlignment="1">
      <alignment horizontal="center" wrapText="1"/>
    </xf>
    <xf numFmtId="0" fontId="8" fillId="11" borderId="1" xfId="0" applyFont="1" applyFill="1" applyBorder="1" applyAlignment="1">
      <alignment horizontal="center" wrapText="1"/>
    </xf>
    <xf numFmtId="0" fontId="8" fillId="11" borderId="13" xfId="0" applyFont="1" applyFill="1" applyBorder="1" applyAlignment="1">
      <alignment horizontal="center" wrapText="1"/>
    </xf>
    <xf numFmtId="0" fontId="8" fillId="11" borderId="15" xfId="0" applyFont="1" applyFill="1" applyBorder="1" applyAlignment="1">
      <alignment horizontal="center" wrapText="1"/>
    </xf>
    <xf numFmtId="0" fontId="1" fillId="5" borderId="47" xfId="0" applyFont="1" applyFill="1" applyBorder="1" applyAlignment="1" applyProtection="1">
      <alignment horizontal="center" vertical="center" wrapText="1"/>
      <protection hidden="1"/>
    </xf>
    <xf numFmtId="0" fontId="1" fillId="5" borderId="96" xfId="0" applyFont="1" applyFill="1" applyBorder="1" applyAlignment="1" applyProtection="1">
      <alignment horizontal="center" vertical="center" wrapText="1"/>
      <protection hidden="1"/>
    </xf>
    <xf numFmtId="0" fontId="1" fillId="5" borderId="46" xfId="0" applyFont="1" applyFill="1" applyBorder="1" applyAlignment="1" applyProtection="1">
      <alignment horizontal="center" vertical="center" wrapText="1"/>
      <protection hidden="1"/>
    </xf>
    <xf numFmtId="0" fontId="23" fillId="3" borderId="0" xfId="0" applyFont="1" applyFill="1" applyAlignment="1" applyProtection="1">
      <alignment horizontal="center"/>
      <protection hidden="1"/>
    </xf>
    <xf numFmtId="0" fontId="5" fillId="0" borderId="15" xfId="0" applyFont="1" applyBorder="1" applyAlignment="1">
      <alignment horizontal="center" wrapText="1"/>
    </xf>
    <xf numFmtId="0" fontId="5" fillId="0" borderId="38" xfId="0" applyFont="1" applyBorder="1" applyAlignment="1">
      <alignment horizontal="center" wrapText="1"/>
    </xf>
    <xf numFmtId="0" fontId="5" fillId="0" borderId="1" xfId="0" applyFont="1" applyBorder="1" applyAlignment="1">
      <alignment horizontal="center" wrapText="1"/>
    </xf>
    <xf numFmtId="0" fontId="9" fillId="0" borderId="1" xfId="0" applyFont="1" applyBorder="1" applyAlignment="1">
      <alignment horizontal="center" wrapText="1"/>
    </xf>
    <xf numFmtId="0" fontId="9" fillId="0" borderId="57" xfId="0" applyFont="1" applyBorder="1" applyAlignment="1">
      <alignment horizontal="center" wrapText="1"/>
    </xf>
    <xf numFmtId="0" fontId="9" fillId="0" borderId="36" xfId="0" applyFont="1" applyBorder="1" applyAlignment="1">
      <alignment horizontal="center" wrapText="1"/>
    </xf>
    <xf numFmtId="0" fontId="8" fillId="11" borderId="104"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8" fillId="11" borderId="104" xfId="0" applyFont="1" applyFill="1" applyBorder="1" applyAlignment="1">
      <alignment horizontal="center" wrapText="1"/>
    </xf>
    <xf numFmtId="0" fontId="8" fillId="11" borderId="4" xfId="0" applyFont="1" applyFill="1" applyBorder="1" applyAlignment="1">
      <alignment horizontal="center" wrapText="1"/>
    </xf>
    <xf numFmtId="0" fontId="8" fillId="11" borderId="121" xfId="0" applyFont="1" applyFill="1" applyBorder="1" applyAlignment="1">
      <alignment horizontal="center" wrapText="1"/>
    </xf>
    <xf numFmtId="0" fontId="8" fillId="11" borderId="2" xfId="0" applyFont="1" applyFill="1" applyBorder="1" applyAlignment="1">
      <alignment horizontal="center" wrapText="1"/>
    </xf>
    <xf numFmtId="0" fontId="8" fillId="11" borderId="12" xfId="0" applyFont="1" applyFill="1" applyBorder="1" applyAlignment="1">
      <alignment horizontal="center" wrapText="1"/>
    </xf>
    <xf numFmtId="0" fontId="8" fillId="11" borderId="21" xfId="0" applyFont="1" applyFill="1" applyBorder="1" applyAlignment="1">
      <alignment horizontal="center" wrapText="1"/>
    </xf>
    <xf numFmtId="0" fontId="7" fillId="5" borderId="22" xfId="0" applyFont="1" applyFill="1" applyBorder="1" applyAlignment="1">
      <alignment horizontal="center" wrapText="1"/>
    </xf>
    <xf numFmtId="0" fontId="7" fillId="5" borderId="96" xfId="0" applyFont="1" applyFill="1" applyBorder="1" applyAlignment="1">
      <alignment horizontal="center" wrapText="1"/>
    </xf>
    <xf numFmtId="0" fontId="7" fillId="5" borderId="46" xfId="0" applyFont="1" applyFill="1" applyBorder="1" applyAlignment="1">
      <alignment horizontal="center" wrapText="1"/>
    </xf>
    <xf numFmtId="0" fontId="9" fillId="0" borderId="37" xfId="0" applyFont="1" applyBorder="1" applyAlignment="1">
      <alignment horizontal="center" wrapText="1"/>
    </xf>
    <xf numFmtId="14" fontId="1" fillId="10" borderId="80" xfId="0" applyNumberFormat="1" applyFont="1" applyFill="1" applyBorder="1" applyAlignment="1">
      <alignment horizontal="center"/>
    </xf>
    <xf numFmtId="0" fontId="8" fillId="11" borderId="14"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8" fillId="11" borderId="15" xfId="0" applyFont="1" applyFill="1" applyBorder="1" applyAlignment="1">
      <alignment horizontal="center" vertical="center" wrapText="1"/>
    </xf>
    <xf numFmtId="0" fontId="8" fillId="11" borderId="105" xfId="0" applyFont="1" applyFill="1" applyBorder="1" applyAlignment="1">
      <alignment horizontal="center" vertical="center" wrapText="1"/>
    </xf>
    <xf numFmtId="0" fontId="8" fillId="11" borderId="20" xfId="0" applyFont="1" applyFill="1" applyBorder="1" applyAlignment="1">
      <alignment horizontal="center" vertical="center" wrapText="1"/>
    </xf>
    <xf numFmtId="0" fontId="1" fillId="0" borderId="49" xfId="0" applyFont="1" applyBorder="1" applyAlignment="1" applyProtection="1">
      <alignment horizontal="center" vertical="center" wrapText="1"/>
      <protection hidden="1"/>
    </xf>
    <xf numFmtId="0" fontId="1" fillId="0" borderId="100" xfId="0" applyFont="1" applyBorder="1" applyAlignment="1" applyProtection="1">
      <alignment horizontal="center" vertical="center" wrapText="1"/>
      <protection hidden="1"/>
    </xf>
    <xf numFmtId="0" fontId="1" fillId="0" borderId="25" xfId="0" applyFont="1" applyBorder="1" applyAlignment="1" applyProtection="1">
      <alignment horizontal="center" vertical="center" wrapText="1"/>
      <protection hidden="1"/>
    </xf>
    <xf numFmtId="0" fontId="7" fillId="5" borderId="39" xfId="0" applyFont="1" applyFill="1" applyBorder="1" applyAlignment="1">
      <alignment horizontal="center" wrapText="1"/>
    </xf>
    <xf numFmtId="0" fontId="7" fillId="5" borderId="36" xfId="0" applyFont="1" applyFill="1" applyBorder="1" applyAlignment="1">
      <alignment horizontal="center" wrapText="1"/>
    </xf>
    <xf numFmtId="0" fontId="1" fillId="0" borderId="44" xfId="0" applyFont="1" applyBorder="1" applyAlignment="1" applyProtection="1">
      <alignment horizontal="center" vertical="center" wrapText="1"/>
      <protection hidden="1"/>
    </xf>
    <xf numFmtId="0" fontId="1" fillId="0" borderId="70" xfId="0" applyFont="1" applyBorder="1" applyAlignment="1" applyProtection="1">
      <alignment horizontal="center" vertical="center" wrapText="1"/>
      <protection hidden="1"/>
    </xf>
    <xf numFmtId="0" fontId="1" fillId="0" borderId="45" xfId="0" applyFont="1" applyBorder="1" applyAlignment="1" applyProtection="1">
      <alignment horizontal="center" vertical="center" wrapText="1"/>
      <protection hidden="1"/>
    </xf>
    <xf numFmtId="0" fontId="8" fillId="11" borderId="14" xfId="0" applyFont="1" applyFill="1" applyBorder="1" applyAlignment="1">
      <alignment horizontal="center" wrapText="1"/>
    </xf>
    <xf numFmtId="0" fontId="8" fillId="11" borderId="16" xfId="0" applyFont="1" applyFill="1" applyBorder="1" applyAlignment="1">
      <alignment horizontal="center" wrapText="1"/>
    </xf>
    <xf numFmtId="0" fontId="14" fillId="10" borderId="79" xfId="0" applyFont="1" applyFill="1" applyBorder="1" applyAlignment="1">
      <alignment horizontal="center"/>
    </xf>
    <xf numFmtId="0" fontId="34" fillId="12" borderId="8" xfId="1" applyFont="1" applyFill="1" applyBorder="1" applyAlignment="1">
      <alignment horizontal="center" vertical="center" wrapText="1"/>
    </xf>
    <xf numFmtId="0" fontId="34" fillId="12" borderId="99" xfId="1" applyFont="1" applyFill="1" applyBorder="1" applyAlignment="1">
      <alignment horizontal="center" vertical="center" wrapText="1"/>
    </xf>
    <xf numFmtId="0" fontId="34" fillId="12" borderId="22" xfId="1" applyFont="1" applyFill="1" applyBorder="1" applyAlignment="1">
      <alignment horizontal="center" vertical="center" wrapText="1"/>
    </xf>
    <xf numFmtId="0" fontId="34" fillId="12" borderId="23" xfId="1" applyFont="1" applyFill="1" applyBorder="1" applyAlignment="1">
      <alignment horizontal="center" vertical="center" wrapText="1"/>
    </xf>
    <xf numFmtId="0" fontId="19" fillId="13" borderId="22" xfId="1" applyFill="1" applyBorder="1" applyAlignment="1">
      <alignment horizontal="center" vertical="center"/>
    </xf>
    <xf numFmtId="0" fontId="19" fillId="13" borderId="23" xfId="1" applyFill="1" applyBorder="1" applyAlignment="1">
      <alignment horizontal="center" vertical="center"/>
    </xf>
    <xf numFmtId="0" fontId="19" fillId="13" borderId="24" xfId="1" applyFill="1" applyBorder="1" applyAlignment="1">
      <alignment horizontal="center" vertical="center"/>
    </xf>
    <xf numFmtId="0" fontId="19" fillId="13" borderId="25" xfId="1" applyFill="1" applyBorder="1" applyAlignment="1">
      <alignment horizontal="center" vertical="center"/>
    </xf>
    <xf numFmtId="0" fontId="1" fillId="11" borderId="84" xfId="1" applyFont="1" applyFill="1" applyBorder="1" applyAlignment="1" applyProtection="1">
      <alignment horizontal="center" vertical="center"/>
      <protection locked="0"/>
    </xf>
    <xf numFmtId="0" fontId="1" fillId="11" borderId="7" xfId="1" applyFont="1" applyFill="1" applyBorder="1" applyAlignment="1" applyProtection="1">
      <alignment horizontal="center" vertical="center"/>
      <protection locked="0"/>
    </xf>
    <xf numFmtId="0" fontId="22" fillId="10" borderId="91" xfId="0" applyFont="1" applyFill="1" applyBorder="1" applyAlignment="1">
      <alignment horizontal="center"/>
    </xf>
    <xf numFmtId="0" fontId="1" fillId="11" borderId="70" xfId="1" applyFont="1" applyFill="1" applyBorder="1" applyAlignment="1" applyProtection="1">
      <alignment horizontal="center" vertical="center"/>
      <protection locked="0"/>
    </xf>
    <xf numFmtId="0" fontId="1" fillId="11" borderId="27" xfId="1" applyFont="1" applyFill="1" applyBorder="1" applyAlignment="1" applyProtection="1">
      <alignment horizontal="center" vertical="center"/>
      <protection locked="0"/>
    </xf>
    <xf numFmtId="0" fontId="1" fillId="4" borderId="44" xfId="1" applyFont="1" applyFill="1" applyBorder="1" applyAlignment="1" applyProtection="1">
      <alignment horizontal="center" vertical="center"/>
      <protection locked="0"/>
    </xf>
    <xf numFmtId="0" fontId="1" fillId="4" borderId="27" xfId="1" applyFont="1" applyFill="1" applyBorder="1" applyAlignment="1" applyProtection="1">
      <alignment horizontal="center" vertical="center"/>
      <protection locked="0"/>
    </xf>
    <xf numFmtId="0" fontId="1" fillId="11" borderId="44" xfId="1" applyFont="1" applyFill="1" applyBorder="1" applyAlignment="1" applyProtection="1">
      <alignment horizontal="center" vertical="center"/>
      <protection locked="0"/>
    </xf>
    <xf numFmtId="0" fontId="1" fillId="4" borderId="36" xfId="1" applyFont="1" applyFill="1" applyBorder="1" applyAlignment="1" applyProtection="1">
      <alignment horizontal="center"/>
      <protection locked="0"/>
    </xf>
    <xf numFmtId="0" fontId="1" fillId="4" borderId="37" xfId="1" applyFont="1" applyFill="1" applyBorder="1" applyAlignment="1" applyProtection="1">
      <alignment horizontal="center"/>
      <protection locked="0"/>
    </xf>
    <xf numFmtId="0" fontId="23" fillId="0" borderId="0" xfId="1" applyFont="1" applyAlignment="1" applyProtection="1">
      <alignment horizontal="center"/>
      <protection locked="0"/>
    </xf>
    <xf numFmtId="0" fontId="4" fillId="0" borderId="0" xfId="1" applyFont="1" applyAlignment="1" applyProtection="1">
      <alignment horizontal="center"/>
      <protection locked="0"/>
    </xf>
    <xf numFmtId="0" fontId="1" fillId="11" borderId="95" xfId="1" applyFont="1" applyFill="1" applyBorder="1" applyAlignment="1" applyProtection="1">
      <alignment horizontal="center" vertical="center"/>
      <protection locked="0"/>
    </xf>
    <xf numFmtId="0" fontId="1" fillId="11" borderId="51" xfId="1" applyFont="1" applyFill="1" applyBorder="1" applyAlignment="1" applyProtection="1">
      <alignment horizontal="center" vertical="center"/>
      <protection locked="0"/>
    </xf>
    <xf numFmtId="0" fontId="1" fillId="11" borderId="97" xfId="1" applyFont="1" applyFill="1" applyBorder="1" applyAlignment="1" applyProtection="1">
      <alignment horizontal="center" vertical="center"/>
      <protection locked="0"/>
    </xf>
    <xf numFmtId="0" fontId="1" fillId="11" borderId="47" xfId="1" applyFont="1" applyFill="1" applyBorder="1" applyAlignment="1" applyProtection="1">
      <alignment horizontal="center" vertical="center"/>
      <protection locked="0"/>
    </xf>
    <xf numFmtId="0" fontId="1" fillId="11" borderId="46" xfId="1" applyFont="1" applyFill="1" applyBorder="1" applyAlignment="1" applyProtection="1">
      <alignment horizontal="center" vertical="center"/>
      <protection locked="0"/>
    </xf>
    <xf numFmtId="0" fontId="1" fillId="11" borderId="49" xfId="1" applyFont="1" applyFill="1" applyBorder="1" applyAlignment="1" applyProtection="1">
      <alignment horizontal="center" vertical="center"/>
      <protection locked="0"/>
    </xf>
    <xf numFmtId="0" fontId="1" fillId="11" borderId="48" xfId="1" applyFont="1" applyFill="1" applyBorder="1" applyAlignment="1" applyProtection="1">
      <alignment horizontal="center" vertical="center"/>
      <protection locked="0"/>
    </xf>
    <xf numFmtId="0" fontId="1" fillId="4" borderId="49" xfId="1" applyFont="1" applyFill="1" applyBorder="1" applyAlignment="1" applyProtection="1">
      <alignment horizontal="center" vertical="center"/>
      <protection locked="0"/>
    </xf>
    <xf numFmtId="0" fontId="1" fillId="4" borderId="48" xfId="1" applyFont="1" applyFill="1" applyBorder="1" applyAlignment="1" applyProtection="1">
      <alignment horizontal="center" vertical="center"/>
      <protection locked="0"/>
    </xf>
    <xf numFmtId="0" fontId="1" fillId="4" borderId="15" xfId="1" applyFont="1" applyFill="1" applyBorder="1" applyAlignment="1" applyProtection="1">
      <alignment horizontal="center"/>
      <protection locked="0"/>
    </xf>
    <xf numFmtId="0" fontId="1" fillId="4" borderId="38" xfId="1" applyFont="1" applyFill="1" applyBorder="1" applyAlignment="1" applyProtection="1">
      <alignment horizontal="center"/>
      <protection locked="0"/>
    </xf>
    <xf numFmtId="0" fontId="4" fillId="0" borderId="12" xfId="1" applyFont="1" applyBorder="1" applyAlignment="1" applyProtection="1">
      <alignment horizontal="center" vertical="top"/>
      <protection locked="0"/>
    </xf>
    <xf numFmtId="0" fontId="1" fillId="11" borderId="65" xfId="1" applyFont="1" applyFill="1" applyBorder="1" applyAlignment="1" applyProtection="1">
      <alignment horizontal="center" vertical="center" wrapText="1"/>
      <protection locked="0"/>
    </xf>
    <xf numFmtId="0" fontId="1" fillId="11" borderId="103" xfId="1" applyFont="1" applyFill="1" applyBorder="1" applyAlignment="1" applyProtection="1">
      <alignment horizontal="center" vertical="center" wrapText="1"/>
      <protection locked="0"/>
    </xf>
    <xf numFmtId="0" fontId="1" fillId="11" borderId="26" xfId="1" applyFont="1" applyFill="1" applyBorder="1" applyAlignment="1" applyProtection="1">
      <alignment horizontal="center" vertical="center" wrapText="1"/>
      <protection locked="0"/>
    </xf>
    <xf numFmtId="0" fontId="1" fillId="11" borderId="16" xfId="1" applyFont="1" applyFill="1" applyBorder="1" applyAlignment="1" applyProtection="1">
      <alignment horizontal="center" vertical="center" wrapText="1"/>
      <protection locked="0"/>
    </xf>
    <xf numFmtId="0" fontId="1" fillId="11" borderId="1" xfId="1" applyFont="1" applyFill="1" applyBorder="1" applyAlignment="1" applyProtection="1">
      <alignment horizontal="center" vertical="center" wrapText="1"/>
      <protection locked="0"/>
    </xf>
    <xf numFmtId="0" fontId="1" fillId="11" borderId="15" xfId="1" applyFont="1" applyFill="1" applyBorder="1" applyAlignment="1" applyProtection="1">
      <alignment horizontal="center" vertical="center" wrapText="1"/>
      <protection locked="0"/>
    </xf>
    <xf numFmtId="0" fontId="1" fillId="11" borderId="43" xfId="1" applyFont="1" applyFill="1" applyBorder="1" applyAlignment="1" applyProtection="1">
      <alignment horizontal="center" vertical="center" wrapText="1"/>
      <protection locked="0"/>
    </xf>
    <xf numFmtId="0" fontId="1" fillId="11" borderId="46" xfId="1" applyFont="1" applyFill="1" applyBorder="1" applyAlignment="1" applyProtection="1">
      <alignment horizontal="center" vertical="center" wrapText="1"/>
      <protection locked="0"/>
    </xf>
    <xf numFmtId="0" fontId="1" fillId="11" borderId="48" xfId="1" applyFont="1" applyFill="1" applyBorder="1" applyAlignment="1" applyProtection="1">
      <alignment horizontal="center" vertical="center" wrapText="1"/>
      <protection locked="0"/>
    </xf>
    <xf numFmtId="0" fontId="1" fillId="11" borderId="104" xfId="1" applyFont="1" applyFill="1" applyBorder="1" applyAlignment="1" applyProtection="1">
      <alignment horizontal="center" vertical="center" wrapText="1"/>
      <protection locked="0"/>
    </xf>
    <xf numFmtId="0" fontId="1" fillId="11" borderId="4" xfId="1" applyFont="1" applyFill="1" applyBorder="1" applyAlignment="1" applyProtection="1">
      <alignment horizontal="center" vertical="center" wrapText="1"/>
      <protection locked="0"/>
    </xf>
    <xf numFmtId="0" fontId="1" fillId="11" borderId="105" xfId="1" applyFont="1" applyFill="1" applyBorder="1" applyAlignment="1" applyProtection="1">
      <alignment horizontal="center" vertical="center" wrapText="1"/>
      <protection locked="0"/>
    </xf>
    <xf numFmtId="0" fontId="1" fillId="11" borderId="41" xfId="1" applyFont="1" applyFill="1" applyBorder="1" applyAlignment="1" applyProtection="1">
      <alignment horizontal="center" vertical="center" wrapText="1"/>
      <protection locked="0"/>
    </xf>
    <xf numFmtId="0" fontId="1" fillId="11" borderId="0" xfId="1" applyFont="1" applyFill="1" applyAlignment="1" applyProtection="1">
      <alignment horizontal="center" vertical="center" wrapText="1"/>
      <protection locked="0"/>
    </xf>
    <xf numFmtId="0" fontId="1" fillId="11" borderId="71" xfId="1" applyFont="1" applyFill="1" applyBorder="1" applyAlignment="1" applyProtection="1">
      <alignment horizontal="center" vertical="center" wrapText="1"/>
      <protection locked="0"/>
    </xf>
    <xf numFmtId="0" fontId="1" fillId="11" borderId="2" xfId="1" applyFont="1" applyFill="1" applyBorder="1" applyAlignment="1" applyProtection="1">
      <alignment horizontal="center" vertical="center" wrapText="1"/>
      <protection locked="0"/>
    </xf>
    <xf numFmtId="0" fontId="1" fillId="11" borderId="12" xfId="1" applyFont="1" applyFill="1" applyBorder="1" applyAlignment="1" applyProtection="1">
      <alignment horizontal="center" vertical="center" wrapText="1"/>
      <protection locked="0"/>
    </xf>
    <xf numFmtId="0" fontId="1" fillId="11" borderId="20" xfId="1" applyFont="1" applyFill="1" applyBorder="1" applyAlignment="1" applyProtection="1">
      <alignment horizontal="center" vertical="center" wrapText="1"/>
      <protection locked="0"/>
    </xf>
    <xf numFmtId="0" fontId="1" fillId="11" borderId="16" xfId="1" quotePrefix="1" applyFont="1" applyFill="1" applyBorder="1" applyAlignment="1" applyProtection="1">
      <alignment horizontal="center" vertical="center" wrapText="1"/>
      <protection locked="0"/>
    </xf>
    <xf numFmtId="0" fontId="1" fillId="11" borderId="1" xfId="1" quotePrefix="1" applyFont="1" applyFill="1" applyBorder="1" applyAlignment="1" applyProtection="1">
      <alignment horizontal="center" vertical="center" wrapText="1"/>
      <protection locked="0"/>
    </xf>
    <xf numFmtId="0" fontId="1" fillId="11" borderId="15" xfId="1" quotePrefix="1" applyFont="1" applyFill="1" applyBorder="1" applyAlignment="1" applyProtection="1">
      <alignment horizontal="center" vertical="center" wrapText="1"/>
      <protection locked="0"/>
    </xf>
    <xf numFmtId="0" fontId="1" fillId="11" borderId="11" xfId="1" quotePrefix="1" applyFont="1" applyFill="1" applyBorder="1" applyAlignment="1" applyProtection="1">
      <alignment horizontal="center" vertical="center" wrapText="1"/>
      <protection locked="0"/>
    </xf>
    <xf numFmtId="0" fontId="1" fillId="11" borderId="57" xfId="1" quotePrefix="1" applyFont="1" applyFill="1" applyBorder="1" applyAlignment="1" applyProtection="1">
      <alignment horizontal="center" vertical="center" wrapText="1"/>
      <protection locked="0"/>
    </xf>
    <xf numFmtId="0" fontId="1" fillId="11" borderId="38" xfId="1" quotePrefix="1" applyFont="1" applyFill="1" applyBorder="1" applyAlignment="1" applyProtection="1">
      <alignment horizontal="center" vertical="center" wrapText="1"/>
      <protection locked="0"/>
    </xf>
    <xf numFmtId="0" fontId="1" fillId="4" borderId="47" xfId="1" applyFont="1" applyFill="1" applyBorder="1" applyAlignment="1" applyProtection="1">
      <alignment horizontal="center" wrapText="1"/>
      <protection locked="0"/>
    </xf>
    <xf numFmtId="0" fontId="0" fillId="0" borderId="96" xfId="0" applyBorder="1" applyAlignment="1">
      <alignment horizontal="center" wrapText="1"/>
    </xf>
    <xf numFmtId="0" fontId="0" fillId="0" borderId="46" xfId="0" applyBorder="1" applyAlignment="1">
      <alignment horizontal="center" wrapText="1"/>
    </xf>
    <xf numFmtId="0" fontId="1" fillId="4" borderId="10" xfId="1" applyFont="1" applyFill="1" applyBorder="1" applyAlignment="1" applyProtection="1">
      <alignment horizontal="center" wrapText="1"/>
      <protection locked="0"/>
    </xf>
    <xf numFmtId="0" fontId="0" fillId="0" borderId="98" xfId="0" applyBorder="1" applyAlignment="1">
      <alignment horizontal="center" wrapText="1"/>
    </xf>
    <xf numFmtId="0" fontId="0" fillId="0" borderId="43" xfId="0" applyBorder="1" applyAlignment="1">
      <alignment horizontal="center" wrapText="1"/>
    </xf>
    <xf numFmtId="0" fontId="1" fillId="4" borderId="96" xfId="1" applyFont="1" applyFill="1" applyBorder="1" applyAlignment="1" applyProtection="1">
      <alignment horizontal="center" wrapText="1"/>
      <protection locked="0"/>
    </xf>
    <xf numFmtId="0" fontId="1" fillId="4" borderId="46" xfId="1" applyFont="1" applyFill="1" applyBorder="1" applyAlignment="1" applyProtection="1">
      <alignment horizontal="center" wrapText="1"/>
      <protection locked="0"/>
    </xf>
    <xf numFmtId="0" fontId="1" fillId="4" borderId="100" xfId="1" applyFont="1" applyFill="1" applyBorder="1" applyAlignment="1" applyProtection="1">
      <alignment horizontal="center" vertical="center"/>
      <protection locked="0"/>
    </xf>
    <xf numFmtId="0" fontId="1" fillId="11" borderId="14" xfId="1" applyFont="1" applyFill="1" applyBorder="1" applyAlignment="1" applyProtection="1">
      <alignment horizontal="center" vertical="center" wrapText="1"/>
      <protection locked="0"/>
    </xf>
    <xf numFmtId="0" fontId="1" fillId="11" borderId="17" xfId="1" applyFont="1" applyFill="1" applyBorder="1" applyAlignment="1" applyProtection="1">
      <alignment horizontal="center" vertical="center" wrapText="1"/>
      <protection locked="0"/>
    </xf>
    <xf numFmtId="0" fontId="1" fillId="11" borderId="13" xfId="1" applyFont="1" applyFill="1" applyBorder="1" applyAlignment="1" applyProtection="1">
      <alignment horizontal="center" vertical="center" wrapText="1"/>
      <protection locked="0"/>
    </xf>
    <xf numFmtId="0" fontId="56" fillId="38" borderId="81" xfId="1" applyFont="1" applyFill="1" applyBorder="1" applyAlignment="1" applyProtection="1">
      <alignment horizontal="center" wrapText="1"/>
      <protection locked="0"/>
    </xf>
    <xf numFmtId="0" fontId="56" fillId="38" borderId="74" xfId="1" applyFont="1" applyFill="1" applyBorder="1" applyAlignment="1" applyProtection="1">
      <alignment horizontal="center" wrapText="1"/>
      <protection locked="0"/>
    </xf>
    <xf numFmtId="0" fontId="56" fillId="38" borderId="86" xfId="1" applyFont="1" applyFill="1" applyBorder="1" applyAlignment="1" applyProtection="1">
      <alignment horizontal="center" wrapText="1"/>
      <protection locked="0"/>
    </xf>
    <xf numFmtId="0" fontId="56" fillId="38" borderId="79" xfId="1" applyFont="1" applyFill="1" applyBorder="1" applyAlignment="1" applyProtection="1">
      <alignment horizontal="center" wrapText="1"/>
      <protection locked="0"/>
    </xf>
    <xf numFmtId="0" fontId="56" fillId="38" borderId="80" xfId="1" applyFont="1" applyFill="1" applyBorder="1" applyAlignment="1" applyProtection="1">
      <alignment horizontal="center" wrapText="1"/>
      <protection locked="0"/>
    </xf>
    <xf numFmtId="0" fontId="56" fillId="38" borderId="91" xfId="1" applyFont="1" applyFill="1" applyBorder="1" applyAlignment="1" applyProtection="1">
      <alignment horizontal="center" wrapText="1"/>
      <protection locked="0"/>
    </xf>
    <xf numFmtId="0" fontId="1" fillId="4" borderId="47" xfId="1" applyFont="1" applyFill="1" applyBorder="1" applyAlignment="1" applyProtection="1">
      <alignment horizontal="center" vertical="center"/>
      <protection locked="0"/>
    </xf>
    <xf numFmtId="0" fontId="1" fillId="4" borderId="96" xfId="1" applyFont="1" applyFill="1" applyBorder="1" applyAlignment="1" applyProtection="1">
      <alignment horizontal="center" vertical="center"/>
      <protection locked="0"/>
    </xf>
    <xf numFmtId="0" fontId="1" fillId="4" borderId="46" xfId="1" applyFont="1" applyFill="1" applyBorder="1" applyAlignment="1" applyProtection="1">
      <alignment horizontal="center" vertical="center"/>
      <protection locked="0"/>
    </xf>
    <xf numFmtId="0" fontId="1" fillId="4" borderId="10" xfId="1" applyFont="1" applyFill="1" applyBorder="1" applyAlignment="1" applyProtection="1">
      <alignment horizontal="center"/>
      <protection locked="0"/>
    </xf>
    <xf numFmtId="0" fontId="1" fillId="4" borderId="98" xfId="1" applyFont="1" applyFill="1" applyBorder="1" applyAlignment="1" applyProtection="1">
      <alignment horizontal="center"/>
      <protection locked="0"/>
    </xf>
    <xf numFmtId="0" fontId="1" fillId="4" borderId="43" xfId="1" applyFont="1" applyFill="1" applyBorder="1" applyAlignment="1" applyProtection="1">
      <alignment horizontal="center"/>
      <protection locked="0"/>
    </xf>
    <xf numFmtId="0" fontId="1" fillId="4" borderId="47" xfId="1" applyFont="1" applyFill="1" applyBorder="1" applyAlignment="1" applyProtection="1">
      <alignment horizontal="center"/>
      <protection locked="0"/>
    </xf>
    <xf numFmtId="0" fontId="1" fillId="4" borderId="96" xfId="1" applyFont="1" applyFill="1" applyBorder="1" applyAlignment="1" applyProtection="1">
      <alignment horizontal="center"/>
      <protection locked="0"/>
    </xf>
    <xf numFmtId="0" fontId="1" fillId="4" borderId="46" xfId="1" applyFont="1" applyFill="1" applyBorder="1" applyAlignment="1" applyProtection="1">
      <alignment horizontal="center"/>
      <protection locked="0"/>
    </xf>
  </cellXfs>
  <cellStyles count="46">
    <cellStyle name="20% - Accent1 2" xfId="5" xr:uid="{00000000-0005-0000-0000-000000000000}"/>
    <cellStyle name="20% - Accent2 2" xfId="6" xr:uid="{00000000-0005-0000-0000-000001000000}"/>
    <cellStyle name="20% - Accent3 2" xfId="7" xr:uid="{00000000-0005-0000-0000-000002000000}"/>
    <cellStyle name="20% - Accent4 2" xfId="8" xr:uid="{00000000-0005-0000-0000-000003000000}"/>
    <cellStyle name="20% - Accent5 2" xfId="9" xr:uid="{00000000-0005-0000-0000-000004000000}"/>
    <cellStyle name="20% - Accent6 2" xfId="10" xr:uid="{00000000-0005-0000-0000-000005000000}"/>
    <cellStyle name="40% - Accent1 2" xfId="11" xr:uid="{00000000-0005-0000-0000-000006000000}"/>
    <cellStyle name="40% - Accent2 2" xfId="12" xr:uid="{00000000-0005-0000-0000-000007000000}"/>
    <cellStyle name="40% - Accent3 2" xfId="13" xr:uid="{00000000-0005-0000-0000-000008000000}"/>
    <cellStyle name="40% - Accent4 2" xfId="14" xr:uid="{00000000-0005-0000-0000-000009000000}"/>
    <cellStyle name="40% - Accent5 2" xfId="15" xr:uid="{00000000-0005-0000-0000-00000A000000}"/>
    <cellStyle name="40% - Accent6 2" xfId="16" xr:uid="{00000000-0005-0000-0000-00000B000000}"/>
    <cellStyle name="60% - Accent1 2" xfId="17" xr:uid="{00000000-0005-0000-0000-00000C000000}"/>
    <cellStyle name="60% - Accent2 2" xfId="18" xr:uid="{00000000-0005-0000-0000-00000D000000}"/>
    <cellStyle name="60% - Accent3 2" xfId="19" xr:uid="{00000000-0005-0000-0000-00000E000000}"/>
    <cellStyle name="60% - Accent4 2" xfId="20" xr:uid="{00000000-0005-0000-0000-00000F000000}"/>
    <cellStyle name="60% - Accent5 2" xfId="21" xr:uid="{00000000-0005-0000-0000-000010000000}"/>
    <cellStyle name="60%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Bad 2" xfId="29" xr:uid="{00000000-0005-0000-0000-000018000000}"/>
    <cellStyle name="Calculation 2" xfId="30" xr:uid="{00000000-0005-0000-0000-000019000000}"/>
    <cellStyle name="Check Cell 2" xfId="31" xr:uid="{00000000-0005-0000-0000-00001A000000}"/>
    <cellStyle name="Explanatory Text 2" xfId="32" xr:uid="{00000000-0005-0000-0000-00001B000000}"/>
    <cellStyle name="Good 2" xfId="33" xr:uid="{00000000-0005-0000-0000-00001C000000}"/>
    <cellStyle name="Heading 1 2" xfId="34" xr:uid="{00000000-0005-0000-0000-00001D000000}"/>
    <cellStyle name="Heading 2 2" xfId="35" xr:uid="{00000000-0005-0000-0000-00001E000000}"/>
    <cellStyle name="Heading 3 2" xfId="36" xr:uid="{00000000-0005-0000-0000-00001F000000}"/>
    <cellStyle name="Heading 4 2" xfId="37" xr:uid="{00000000-0005-0000-0000-000020000000}"/>
    <cellStyle name="Input 2" xfId="38" xr:uid="{00000000-0005-0000-0000-000021000000}"/>
    <cellStyle name="Linked Cell 2" xfId="39" xr:uid="{00000000-0005-0000-0000-000022000000}"/>
    <cellStyle name="Neutral 2" xfId="40" xr:uid="{00000000-0005-0000-0000-000023000000}"/>
    <cellStyle name="Normal" xfId="0" builtinId="0"/>
    <cellStyle name="Normal 2" xfId="2" xr:uid="{00000000-0005-0000-0000-000025000000}"/>
    <cellStyle name="Normal 2 2" xfId="4" xr:uid="{00000000-0005-0000-0000-000026000000}"/>
    <cellStyle name="Normal 3" xfId="3" xr:uid="{00000000-0005-0000-0000-000027000000}"/>
    <cellStyle name="Normal_AllRedCalcs" xfId="1" xr:uid="{00000000-0005-0000-0000-000028000000}"/>
    <cellStyle name="Note 2" xfId="41" xr:uid="{00000000-0005-0000-0000-000029000000}"/>
    <cellStyle name="Output 2" xfId="42" xr:uid="{00000000-0005-0000-0000-00002A000000}"/>
    <cellStyle name="Title 2" xfId="43" xr:uid="{00000000-0005-0000-0000-00002B000000}"/>
    <cellStyle name="Total 2" xfId="44" xr:uid="{00000000-0005-0000-0000-00002C000000}"/>
    <cellStyle name="Warning Text 2" xfId="45" xr:uid="{00000000-0005-0000-0000-00002D000000}"/>
  </cellStyles>
  <dxfs count="225">
    <dxf>
      <font>
        <b val="0"/>
        <i val="0"/>
        <color theme="0"/>
      </font>
      <fill>
        <patternFill>
          <bgColor rgb="FFC00000"/>
        </patternFill>
      </fill>
    </dxf>
    <dxf>
      <fill>
        <patternFill>
          <bgColor rgb="FFFFC000"/>
        </patternFill>
      </fill>
    </dxf>
    <dxf>
      <font>
        <b/>
        <i val="0"/>
        <color rgb="FF2118D8"/>
      </font>
      <fill>
        <patternFill patternType="solid">
          <bgColor theme="9" tint="0.39994506668294322"/>
        </patternFill>
      </fill>
    </dxf>
    <dxf>
      <font>
        <b val="0"/>
        <i val="0"/>
        <color theme="0"/>
      </font>
      <fill>
        <patternFill>
          <bgColor rgb="FFC00000"/>
        </patternFill>
      </fill>
    </dxf>
    <dxf>
      <fill>
        <patternFill>
          <bgColor rgb="FFFFC000"/>
        </patternFill>
      </fill>
    </dxf>
    <dxf>
      <font>
        <b/>
        <i val="0"/>
        <color rgb="FF2118D8"/>
      </font>
      <fill>
        <patternFill patternType="solid">
          <bgColor theme="9" tint="0.39994506668294322"/>
        </patternFill>
      </fill>
    </dxf>
    <dxf>
      <font>
        <color rgb="FFCCFFFF"/>
      </font>
    </dxf>
    <dxf>
      <font>
        <color rgb="FFCCFFFF"/>
      </font>
    </dxf>
    <dxf>
      <font>
        <b val="0"/>
        <i val="0"/>
        <color theme="0"/>
      </font>
      <fill>
        <patternFill>
          <bgColor rgb="FFC00000"/>
        </patternFill>
      </fill>
    </dxf>
    <dxf>
      <fill>
        <patternFill>
          <bgColor rgb="FFFFC000"/>
        </patternFill>
      </fill>
    </dxf>
    <dxf>
      <font>
        <b/>
        <i val="0"/>
        <color rgb="FF2118D8"/>
      </font>
      <fill>
        <patternFill patternType="solid">
          <bgColor theme="9" tint="0.39994506668294322"/>
        </patternFill>
      </fill>
    </dxf>
    <dxf>
      <font>
        <b val="0"/>
        <i val="0"/>
        <color theme="0"/>
      </font>
      <fill>
        <patternFill>
          <bgColor rgb="FFC00000"/>
        </patternFill>
      </fill>
    </dxf>
    <dxf>
      <fill>
        <patternFill>
          <bgColor rgb="FFFFC000"/>
        </patternFill>
      </fill>
    </dxf>
    <dxf>
      <font>
        <b val="0"/>
        <i val="0"/>
        <color theme="0"/>
      </font>
      <fill>
        <patternFill>
          <bgColor rgb="FFC00000"/>
        </patternFill>
      </fill>
    </dxf>
    <dxf>
      <fill>
        <patternFill>
          <bgColor rgb="FFFFC000"/>
        </patternFill>
      </fill>
    </dxf>
    <dxf>
      <font>
        <b/>
        <i val="0"/>
        <color rgb="FF2118D8"/>
      </font>
      <fill>
        <patternFill patternType="solid">
          <bgColor theme="9" tint="0.39994506668294322"/>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b/>
        <i val="0"/>
      </font>
      <fill>
        <patternFill>
          <bgColor rgb="FFFF4343"/>
        </patternFill>
      </fill>
    </dxf>
    <dxf>
      <fill>
        <patternFill patternType="none">
          <bgColor indexed="65"/>
        </patternFill>
      </fill>
    </dxf>
    <dxf>
      <font>
        <color rgb="FFFF0000"/>
      </font>
    </dxf>
    <dxf>
      <font>
        <color rgb="FFFF0000"/>
      </font>
      <fill>
        <patternFill>
          <bgColor rgb="FFFFFF00"/>
        </patternFill>
      </fill>
    </dxf>
    <dxf>
      <font>
        <color rgb="FFFF0000"/>
      </font>
      <fill>
        <patternFill>
          <bgColor theme="6" tint="0.59996337778862885"/>
        </patternFill>
      </fill>
    </dxf>
    <dxf>
      <font>
        <color rgb="FFFF0000"/>
      </font>
    </dxf>
    <dxf>
      <font>
        <color rgb="FFFF0000"/>
      </font>
      <fill>
        <patternFill>
          <bgColor rgb="FFFFFF00"/>
        </patternFill>
      </fill>
    </dxf>
    <dxf>
      <font>
        <color rgb="FFFF0000"/>
      </font>
    </dxf>
    <dxf>
      <font>
        <color rgb="FFFF0000"/>
      </font>
    </dxf>
    <dxf>
      <font>
        <color rgb="FFFF0000"/>
      </font>
    </dxf>
    <dxf>
      <font>
        <color rgb="FF9C0006"/>
      </font>
    </dxf>
    <dxf>
      <fill>
        <patternFill>
          <bgColor rgb="FF81FFBA"/>
        </patternFill>
      </fill>
    </dxf>
    <dxf>
      <font>
        <b/>
        <i val="0"/>
      </font>
      <fill>
        <patternFill>
          <bgColor rgb="FFFF4343"/>
        </patternFill>
      </fill>
    </dxf>
    <dxf>
      <fill>
        <patternFill patternType="none">
          <bgColor indexed="65"/>
        </patternFill>
      </fill>
    </dxf>
    <dxf>
      <font>
        <color rgb="FFC0C0C0"/>
      </font>
    </dxf>
    <dxf>
      <fill>
        <patternFill>
          <bgColor rgb="FFFFC000"/>
        </patternFill>
      </fill>
    </dxf>
    <dxf>
      <font>
        <color theme="0"/>
      </font>
    </dxf>
    <dxf>
      <font>
        <color theme="0"/>
      </font>
    </dxf>
    <dxf>
      <font>
        <color theme="0"/>
      </font>
    </dxf>
    <dxf>
      <font>
        <color theme="0"/>
      </font>
    </dxf>
    <dxf>
      <font>
        <color theme="0"/>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7</xdr:row>
      <xdr:rowOff>38100</xdr:rowOff>
    </xdr:from>
    <xdr:to>
      <xdr:col>8</xdr:col>
      <xdr:colOff>561975</xdr:colOff>
      <xdr:row>47</xdr:row>
      <xdr:rowOff>47756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824" t="8333" r="6867" b="20361"/>
        <a:stretch/>
      </xdr:blipFill>
      <xdr:spPr>
        <a:xfrm>
          <a:off x="19050" y="1419225"/>
          <a:ext cx="5676900" cy="64866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219075</xdr:colOff>
      <xdr:row>2</xdr:row>
      <xdr:rowOff>133350</xdr:rowOff>
    </xdr:from>
    <xdr:to>
      <xdr:col>29</xdr:col>
      <xdr:colOff>408543</xdr:colOff>
      <xdr:row>31</xdr:row>
      <xdr:rowOff>57331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9096375" y="523875"/>
          <a:ext cx="5675868" cy="64867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266700</xdr:colOff>
      <xdr:row>9</xdr:row>
      <xdr:rowOff>104775</xdr:rowOff>
    </xdr:from>
    <xdr:to>
      <xdr:col>21</xdr:col>
      <xdr:colOff>599043</xdr:colOff>
      <xdr:row>35</xdr:row>
      <xdr:rowOff>162106</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9906000" y="1790700"/>
          <a:ext cx="5675868" cy="64867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523875</xdr:colOff>
      <xdr:row>6</xdr:row>
      <xdr:rowOff>47625</xdr:rowOff>
    </xdr:from>
    <xdr:to>
      <xdr:col>26</xdr:col>
      <xdr:colOff>103743</xdr:colOff>
      <xdr:row>43</xdr:row>
      <xdr:rowOff>162106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8534400" y="1133475"/>
          <a:ext cx="5675868" cy="64867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180975</xdr:colOff>
      <xdr:row>2</xdr:row>
      <xdr:rowOff>38100</xdr:rowOff>
    </xdr:from>
    <xdr:to>
      <xdr:col>24</xdr:col>
      <xdr:colOff>370443</xdr:colOff>
      <xdr:row>32</xdr:row>
      <xdr:rowOff>66856</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8686800" y="428625"/>
          <a:ext cx="5675868" cy="6486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523875</xdr:colOff>
      <xdr:row>5</xdr:row>
      <xdr:rowOff>47625</xdr:rowOff>
    </xdr:from>
    <xdr:to>
      <xdr:col>19</xdr:col>
      <xdr:colOff>560943</xdr:colOff>
      <xdr:row>32</xdr:row>
      <xdr:rowOff>124006</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8601075" y="933450"/>
          <a:ext cx="5675868" cy="6486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202407</xdr:colOff>
      <xdr:row>7</xdr:row>
      <xdr:rowOff>83343</xdr:rowOff>
    </xdr:from>
    <xdr:to>
      <xdr:col>42</xdr:col>
      <xdr:colOff>413307</xdr:colOff>
      <xdr:row>44</xdr:row>
      <xdr:rowOff>69236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037345" y="1464468"/>
          <a:ext cx="5675868" cy="64867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28</xdr:col>
      <xdr:colOff>771525</xdr:colOff>
      <xdr:row>6</xdr:row>
      <xdr:rowOff>219075</xdr:rowOff>
    </xdr:from>
    <xdr:to>
      <xdr:col>38</xdr:col>
      <xdr:colOff>3246993</xdr:colOff>
      <xdr:row>35</xdr:row>
      <xdr:rowOff>76381</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8181975" y="1362075"/>
          <a:ext cx="5675868" cy="64867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17</xdr:col>
      <xdr:colOff>423334</xdr:colOff>
      <xdr:row>14</xdr:row>
      <xdr:rowOff>158750</xdr:rowOff>
    </xdr:from>
    <xdr:to>
      <xdr:col>26</xdr:col>
      <xdr:colOff>574702</xdr:colOff>
      <xdr:row>49</xdr:row>
      <xdr:rowOff>9706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0308167" y="2952750"/>
          <a:ext cx="5675868" cy="64867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TD%20Ltd/Jobs/16/01%20HCC%20Signals/Site%2076%20Horotui%20Bridge/Site%2076%20CIS%20V2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Cover"/>
      <sheetName val="2 - Install notes"/>
      <sheetName val="2 - Install notes SCATS CONFIG"/>
      <sheetName val="3 - Signal Group Info"/>
      <sheetName val="4 - Phase Control"/>
      <sheetName val="5 - Detectors "/>
      <sheetName val="5a - DAC's"/>
      <sheetName val="6 - Time Settings"/>
      <sheetName val="7 - Peds"/>
      <sheetName val="8 - Spec.Timers &amp; Notes"/>
      <sheetName val="9 - Flexi &amp; Special Flags"/>
      <sheetName val="10 - Conflict Matrix"/>
      <sheetName val="11 - All Red"/>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S60"/>
  <sheetViews>
    <sheetView showGridLines="0" tabSelected="1" zoomScaleNormal="100" workbookViewId="0">
      <selection activeCell="L20" sqref="K19:L20"/>
    </sheetView>
  </sheetViews>
  <sheetFormatPr defaultRowHeight="12.75" x14ac:dyDescent="0.2"/>
  <cols>
    <col min="2" max="2" width="11.85546875" bestFit="1" customWidth="1"/>
    <col min="3" max="3" width="10.28515625" bestFit="1" customWidth="1"/>
    <col min="19" max="19" width="13.5703125" customWidth="1"/>
  </cols>
  <sheetData>
    <row r="1" spans="1:19" ht="27.75" customHeight="1" x14ac:dyDescent="0.2">
      <c r="A1" s="503" t="s">
        <v>0</v>
      </c>
      <c r="B1" s="504"/>
      <c r="C1" s="504"/>
      <c r="D1" s="504"/>
      <c r="E1" s="504"/>
      <c r="F1" s="504"/>
      <c r="G1" s="504"/>
      <c r="H1" s="504"/>
      <c r="I1" s="504"/>
    </row>
    <row r="2" spans="1:19" ht="22.5" customHeight="1" x14ac:dyDescent="0.25">
      <c r="A2" s="507" t="s">
        <v>1</v>
      </c>
      <c r="B2" s="508"/>
      <c r="C2" s="508"/>
      <c r="D2" s="508"/>
      <c r="E2" s="508"/>
      <c r="F2" s="508"/>
      <c r="G2" s="508"/>
      <c r="H2" s="508"/>
      <c r="I2" s="508"/>
      <c r="O2" s="500"/>
      <c r="P2" s="500"/>
      <c r="Q2" s="501"/>
      <c r="R2" s="502"/>
      <c r="S2" s="502"/>
    </row>
    <row r="3" spans="1:19" ht="6" customHeight="1" thickBot="1" x14ac:dyDescent="0.25"/>
    <row r="4" spans="1:19" ht="15" x14ac:dyDescent="0.25">
      <c r="A4" s="509" t="s">
        <v>2</v>
      </c>
      <c r="B4" s="510"/>
      <c r="C4" s="515" t="s">
        <v>3</v>
      </c>
      <c r="D4" s="515"/>
      <c r="E4" s="515"/>
      <c r="F4" s="515"/>
      <c r="G4" s="227" t="s">
        <v>4</v>
      </c>
      <c r="H4" s="511">
        <v>36</v>
      </c>
      <c r="I4" s="512"/>
    </row>
    <row r="5" spans="1:19" ht="15" x14ac:dyDescent="0.25">
      <c r="A5" s="228" t="s">
        <v>5</v>
      </c>
      <c r="B5" s="389">
        <v>43546</v>
      </c>
      <c r="C5" s="319"/>
      <c r="D5" s="229" t="s">
        <v>6</v>
      </c>
      <c r="E5" s="319" t="s">
        <v>7</v>
      </c>
      <c r="F5" s="319"/>
      <c r="G5" s="230" t="s">
        <v>8</v>
      </c>
      <c r="H5" s="513" t="s">
        <v>9</v>
      </c>
      <c r="I5" s="514"/>
    </row>
    <row r="6" spans="1:19" ht="15.75" thickBot="1" x14ac:dyDescent="0.3">
      <c r="A6" s="231" t="s">
        <v>10</v>
      </c>
      <c r="B6" s="390"/>
      <c r="C6" s="391" t="s">
        <v>11</v>
      </c>
      <c r="D6" s="232"/>
      <c r="E6" s="391"/>
      <c r="F6" s="391"/>
      <c r="G6" s="233" t="s">
        <v>12</v>
      </c>
      <c r="H6" s="505" t="s">
        <v>13</v>
      </c>
      <c r="I6" s="506"/>
    </row>
    <row r="7" spans="1:19" ht="6.75" customHeight="1" x14ac:dyDescent="0.2"/>
    <row r="60" ht="9.75" customHeight="1" x14ac:dyDescent="0.2"/>
  </sheetData>
  <mergeCells count="9">
    <mergeCell ref="O2:P2"/>
    <mergeCell ref="Q2:S2"/>
    <mergeCell ref="A1:I1"/>
    <mergeCell ref="H6:I6"/>
    <mergeCell ref="A2:I2"/>
    <mergeCell ref="A4:B4"/>
    <mergeCell ref="H4:I4"/>
    <mergeCell ref="H5:I5"/>
    <mergeCell ref="C4:F4"/>
  </mergeCells>
  <phoneticPr fontId="0" type="noConversion"/>
  <conditionalFormatting sqref="H6">
    <cfRule type="cellIs" dxfId="224" priority="7" operator="equal">
      <formula>""</formula>
    </cfRule>
  </conditionalFormatting>
  <conditionalFormatting sqref="A1:I1">
    <cfRule type="cellIs" dxfId="223" priority="5" operator="equal">
      <formula>""</formula>
    </cfRule>
  </conditionalFormatting>
  <conditionalFormatting sqref="C4:F4">
    <cfRule type="cellIs" dxfId="222" priority="4" operator="equal">
      <formula>""</formula>
    </cfRule>
  </conditionalFormatting>
  <conditionalFormatting sqref="H4:I4">
    <cfRule type="cellIs" dxfId="221" priority="3" operator="equal">
      <formula>""</formula>
    </cfRule>
  </conditionalFormatting>
  <conditionalFormatting sqref="B5">
    <cfRule type="cellIs" dxfId="220" priority="2" operator="equal">
      <formula>""</formula>
    </cfRule>
  </conditionalFormatting>
  <conditionalFormatting sqref="E5">
    <cfRule type="cellIs" dxfId="219" priority="1" operator="equal">
      <formula>""</formula>
    </cfRule>
  </conditionalFormatting>
  <dataValidations count="2">
    <dataValidation type="list" allowBlank="1" showInputMessage="1" showErrorMessage="1" sqref="A1:I1" xr:uid="{00000000-0002-0000-0000-000000000000}">
      <formula1>"',WHANGANUI DISTRICT COUNCIL,DUNEDIN CITY COUNCIL,HAMILTON CITY COUNCIL,NEW PLYMOUTH DISTRICT COUNCIL,WHANGAREI DISTRICT COUNCIL,TSL LTD,ITS LTD,URBAN TRAFFIC DESIGN LTD,NAPIER CITY COUNCIL"</formula1>
    </dataValidation>
    <dataValidation type="list" allowBlank="1" showInputMessage="1" showErrorMessage="1" promptTitle="code" prompt="Select Intersection Type Code" sqref="H6:I6" xr:uid="{00000000-0002-0000-0000-000001000000}">
      <formula1>"',PX,PXI,PXS,SIMPED,T,TLM,TLS,TLSM,X,XL,XLO,XLSM,XLOSM,SDO,SDOM,SDOS,SDOSM,DDO,DDOM,DDOS,DDOSM,MX,SPECIAL"</formula1>
    </dataValidation>
  </dataValidations>
  <pageMargins left="0.59055118110236227" right="0.59055118110236227" top="0.47244094488188981" bottom="0.51181102362204722" header="0.51181102362204722" footer="0.51181102362204722"/>
  <pageSetup paperSize="9" orientation="portrait" r:id="rId1"/>
  <headerFooter alignWithMargins="0">
    <oddFooter>&amp;L&amp;A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AH37"/>
  <sheetViews>
    <sheetView showGridLines="0" topLeftCell="A10" zoomScale="80" zoomScaleNormal="80" workbookViewId="0">
      <selection activeCell="M15" sqref="M15"/>
    </sheetView>
  </sheetViews>
  <sheetFormatPr defaultRowHeight="12.75" x14ac:dyDescent="0.2"/>
  <cols>
    <col min="2" max="2" width="10.140625" bestFit="1" customWidth="1"/>
    <col min="3" max="3" width="9.42578125" bestFit="1" customWidth="1"/>
    <col min="9" max="9" width="11.140625" bestFit="1" customWidth="1"/>
  </cols>
  <sheetData>
    <row r="1" spans="1:9" ht="15" x14ac:dyDescent="0.25">
      <c r="A1" s="509" t="s">
        <v>2</v>
      </c>
      <c r="B1" s="510"/>
      <c r="C1" s="392" t="str">
        <f>'1 - Cover'!C4</f>
        <v>Naylor / Galloway</v>
      </c>
      <c r="D1" s="388"/>
      <c r="E1" s="388"/>
      <c r="F1" s="227" t="s">
        <v>4</v>
      </c>
      <c r="G1" s="515">
        <f>'1 - Cover'!H4</f>
        <v>36</v>
      </c>
      <c r="H1" s="515"/>
      <c r="I1" s="531"/>
    </row>
    <row r="2" spans="1:9" ht="15.75" thickBot="1" x14ac:dyDescent="0.3">
      <c r="A2" s="234" t="s">
        <v>5</v>
      </c>
      <c r="B2" s="534">
        <f>'1 - Cover'!B5</f>
        <v>43546</v>
      </c>
      <c r="C2" s="534"/>
      <c r="D2" s="235" t="s">
        <v>6</v>
      </c>
      <c r="E2" s="393" t="str">
        <f>'1 - Cover'!E5</f>
        <v>3d</v>
      </c>
      <c r="F2" s="236" t="s">
        <v>8</v>
      </c>
      <c r="G2" s="532" t="str">
        <f>'1 - Cover'!H5</f>
        <v>R Thomson</v>
      </c>
      <c r="H2" s="532"/>
      <c r="I2" s="533"/>
    </row>
    <row r="3" spans="1:9" x14ac:dyDescent="0.2">
      <c r="A3" s="36"/>
      <c r="B3" s="36"/>
      <c r="C3" s="36"/>
      <c r="D3" s="14"/>
      <c r="E3" s="14"/>
      <c r="F3" s="14"/>
      <c r="G3" s="14"/>
      <c r="H3" s="14"/>
    </row>
    <row r="4" spans="1:9" ht="26.25" x14ac:dyDescent="0.4">
      <c r="B4" s="65"/>
      <c r="C4" s="64" t="s">
        <v>14</v>
      </c>
    </row>
    <row r="6" spans="1:9" ht="21" thickBot="1" x14ac:dyDescent="0.35">
      <c r="A6" s="302" t="s">
        <v>15</v>
      </c>
      <c r="B6" s="303"/>
      <c r="C6" s="303"/>
      <c r="D6" s="303"/>
      <c r="E6" s="303"/>
      <c r="F6" s="303"/>
      <c r="G6" s="303"/>
      <c r="H6" s="304"/>
      <c r="I6" s="305" t="s">
        <v>16</v>
      </c>
    </row>
    <row r="7" spans="1:9" ht="18" x14ac:dyDescent="0.25">
      <c r="A7" s="306" t="s">
        <v>17</v>
      </c>
      <c r="I7" s="307"/>
    </row>
    <row r="8" spans="1:9" ht="18" x14ac:dyDescent="0.25">
      <c r="A8" s="306" t="s">
        <v>18</v>
      </c>
      <c r="I8" s="307"/>
    </row>
    <row r="9" spans="1:9" ht="18" x14ac:dyDescent="0.25">
      <c r="A9" s="308" t="s">
        <v>19</v>
      </c>
      <c r="B9" s="309"/>
      <c r="C9" s="309"/>
      <c r="D9" s="309"/>
      <c r="E9" s="309"/>
      <c r="F9" s="309"/>
      <c r="G9" s="309"/>
      <c r="H9" s="309"/>
      <c r="I9" s="310"/>
    </row>
    <row r="12" spans="1:9" ht="21" thickBot="1" x14ac:dyDescent="0.35">
      <c r="A12" s="302" t="s">
        <v>20</v>
      </c>
      <c r="B12" s="303"/>
      <c r="C12" s="303"/>
      <c r="D12" s="303"/>
      <c r="E12" s="303"/>
      <c r="F12" s="303"/>
      <c r="G12" s="303"/>
      <c r="H12" s="304"/>
      <c r="I12" s="305" t="s">
        <v>16</v>
      </c>
    </row>
    <row r="13" spans="1:9" ht="18" x14ac:dyDescent="0.25">
      <c r="A13" s="306" t="s">
        <v>17</v>
      </c>
      <c r="I13" s="307"/>
    </row>
    <row r="14" spans="1:9" ht="18" x14ac:dyDescent="0.25">
      <c r="A14" s="308"/>
      <c r="B14" s="309"/>
      <c r="C14" s="309"/>
      <c r="D14" s="309"/>
      <c r="E14" s="309"/>
      <c r="F14" s="309"/>
      <c r="G14" s="309"/>
      <c r="H14" s="309"/>
      <c r="I14" s="310"/>
    </row>
    <row r="15" spans="1:9" ht="18.75" thickBot="1" x14ac:dyDescent="0.3">
      <c r="A15" s="35"/>
    </row>
    <row r="16" spans="1:9" ht="21" thickBot="1" x14ac:dyDescent="0.35">
      <c r="A16" s="535" t="s">
        <v>21</v>
      </c>
      <c r="B16" s="535"/>
      <c r="C16" s="536"/>
      <c r="D16" s="537" t="s">
        <v>22</v>
      </c>
      <c r="E16" s="538"/>
      <c r="F16" s="539" t="s">
        <v>23</v>
      </c>
      <c r="G16" s="540"/>
      <c r="H16" s="542">
        <v>5</v>
      </c>
      <c r="I16" s="543"/>
    </row>
    <row r="17" spans="1:34" ht="18.75" thickBot="1" x14ac:dyDescent="0.3">
      <c r="A17" s="62"/>
      <c r="B17" s="63"/>
      <c r="C17" s="63"/>
      <c r="D17" s="63"/>
      <c r="E17" s="63"/>
      <c r="M17" t="str">
        <f>IF(H20="","",IF(H20="NO","",IF(H22="LED",2,IF(H22="MIXED",1,""))))</f>
        <v/>
      </c>
      <c r="AH17" s="16"/>
    </row>
    <row r="18" spans="1:34" ht="21" thickBot="1" x14ac:dyDescent="0.35">
      <c r="A18" s="535" t="s">
        <v>24</v>
      </c>
      <c r="B18" s="541"/>
      <c r="C18" s="541"/>
      <c r="D18" s="541"/>
      <c r="E18" s="541"/>
      <c r="F18" s="541"/>
      <c r="H18" s="542" t="s">
        <v>16</v>
      </c>
      <c r="I18" s="546"/>
      <c r="AH18" s="16"/>
    </row>
    <row r="19" spans="1:34" ht="21" thickBot="1" x14ac:dyDescent="0.35">
      <c r="A19" s="62"/>
      <c r="H19" s="80"/>
      <c r="I19" s="80"/>
    </row>
    <row r="20" spans="1:34" ht="24.75" customHeight="1" thickBot="1" x14ac:dyDescent="0.3">
      <c r="A20" s="35"/>
      <c r="B20" s="500" t="s">
        <v>25</v>
      </c>
      <c r="C20" s="500"/>
      <c r="D20" s="500"/>
      <c r="E20" s="500"/>
      <c r="F20" s="500"/>
      <c r="H20" s="544" t="s">
        <v>26</v>
      </c>
      <c r="I20" s="545"/>
      <c r="AH20" s="221"/>
    </row>
    <row r="21" spans="1:34" ht="13.5" thickBot="1" x14ac:dyDescent="0.25">
      <c r="AH21" s="221"/>
    </row>
    <row r="22" spans="1:34" ht="20.25" customHeight="1" thickBot="1" x14ac:dyDescent="0.25">
      <c r="B22" s="547" t="s">
        <v>27</v>
      </c>
      <c r="C22" s="547"/>
      <c r="D22" s="547"/>
      <c r="E22" s="547"/>
      <c r="F22" s="547"/>
      <c r="H22" s="548">
        <f>IF(H18="","",IF(H18="NO","",IF(H20="LED",2,IF(H20="MIXED",1,""))))</f>
        <v>2</v>
      </c>
      <c r="I22" s="549"/>
      <c r="AH22" s="221"/>
    </row>
    <row r="23" spans="1:34" ht="20.25" customHeight="1" thickBot="1" x14ac:dyDescent="0.25">
      <c r="B23" s="312"/>
      <c r="C23" s="312"/>
      <c r="D23" s="312"/>
      <c r="E23" s="312"/>
      <c r="F23" s="312"/>
      <c r="H23" s="301"/>
      <c r="I23" s="301"/>
      <c r="AH23" s="221"/>
    </row>
    <row r="24" spans="1:34" ht="20.25" customHeight="1" thickBot="1" x14ac:dyDescent="0.3">
      <c r="A24" s="500" t="s">
        <v>28</v>
      </c>
      <c r="B24" s="500"/>
      <c r="C24" s="500"/>
      <c r="D24" s="316" t="s">
        <v>29</v>
      </c>
      <c r="E24" s="312"/>
      <c r="F24" s="500" t="s">
        <v>30</v>
      </c>
      <c r="G24" s="500"/>
      <c r="H24" s="500"/>
      <c r="I24" s="316" t="s">
        <v>29</v>
      </c>
      <c r="AH24" s="221"/>
    </row>
    <row r="25" spans="1:34" ht="18.75" thickBot="1" x14ac:dyDescent="0.3">
      <c r="A25" s="35"/>
    </row>
    <row r="26" spans="1:34" ht="18" customHeight="1" x14ac:dyDescent="0.2">
      <c r="A26" s="516">
        <v>1</v>
      </c>
      <c r="B26" s="524" t="s">
        <v>31</v>
      </c>
      <c r="C26" s="519"/>
      <c r="D26" s="519"/>
      <c r="E26" s="519"/>
      <c r="F26" s="519"/>
      <c r="G26" s="519"/>
      <c r="H26" s="519"/>
      <c r="I26" s="520"/>
    </row>
    <row r="27" spans="1:34" ht="28.5" customHeight="1" thickBot="1" x14ac:dyDescent="0.25">
      <c r="A27" s="517"/>
      <c r="B27" s="521"/>
      <c r="C27" s="522"/>
      <c r="D27" s="522"/>
      <c r="E27" s="522"/>
      <c r="F27" s="522"/>
      <c r="G27" s="522"/>
      <c r="H27" s="522"/>
      <c r="I27" s="523"/>
    </row>
    <row r="28" spans="1:34" ht="18" customHeight="1" x14ac:dyDescent="0.2">
      <c r="A28" s="516">
        <v>2</v>
      </c>
      <c r="B28" s="524" t="s">
        <v>32</v>
      </c>
      <c r="C28" s="525"/>
      <c r="D28" s="525"/>
      <c r="E28" s="525"/>
      <c r="F28" s="525"/>
      <c r="G28" s="525"/>
      <c r="H28" s="525"/>
      <c r="I28" s="526"/>
    </row>
    <row r="29" spans="1:34" ht="18" customHeight="1" thickBot="1" x14ac:dyDescent="0.25">
      <c r="A29" s="517"/>
      <c r="B29" s="527"/>
      <c r="C29" s="528"/>
      <c r="D29" s="528"/>
      <c r="E29" s="528"/>
      <c r="F29" s="528"/>
      <c r="G29" s="528"/>
      <c r="H29" s="528"/>
      <c r="I29" s="529"/>
    </row>
    <row r="30" spans="1:34" ht="18" customHeight="1" x14ac:dyDescent="0.2">
      <c r="A30" s="516">
        <v>3</v>
      </c>
      <c r="B30" s="524" t="s">
        <v>33</v>
      </c>
      <c r="C30" s="525"/>
      <c r="D30" s="525"/>
      <c r="E30" s="525"/>
      <c r="F30" s="525"/>
      <c r="G30" s="525"/>
      <c r="H30" s="525"/>
      <c r="I30" s="526"/>
    </row>
    <row r="31" spans="1:34" ht="18" customHeight="1" thickBot="1" x14ac:dyDescent="0.25">
      <c r="A31" s="517"/>
      <c r="B31" s="527"/>
      <c r="C31" s="528"/>
      <c r="D31" s="528"/>
      <c r="E31" s="528"/>
      <c r="F31" s="528"/>
      <c r="G31" s="528"/>
      <c r="H31" s="528"/>
      <c r="I31" s="529"/>
    </row>
    <row r="32" spans="1:34" ht="18" customHeight="1" x14ac:dyDescent="0.2">
      <c r="A32" s="516">
        <v>4</v>
      </c>
      <c r="B32" s="530" t="s">
        <v>34</v>
      </c>
      <c r="C32" s="519"/>
      <c r="D32" s="519"/>
      <c r="E32" s="519"/>
      <c r="F32" s="519"/>
      <c r="G32" s="519"/>
      <c r="H32" s="519"/>
      <c r="I32" s="520"/>
    </row>
    <row r="33" spans="1:9" ht="16.5" customHeight="1" thickBot="1" x14ac:dyDescent="0.25">
      <c r="A33" s="517"/>
      <c r="B33" s="521"/>
      <c r="C33" s="522"/>
      <c r="D33" s="522"/>
      <c r="E33" s="522"/>
      <c r="F33" s="522"/>
      <c r="G33" s="522"/>
      <c r="H33" s="522"/>
      <c r="I33" s="523"/>
    </row>
    <row r="34" spans="1:9" ht="15.75" customHeight="1" x14ac:dyDescent="0.2">
      <c r="A34" s="516">
        <v>5</v>
      </c>
      <c r="B34" s="518"/>
      <c r="C34" s="519"/>
      <c r="D34" s="519"/>
      <c r="E34" s="519"/>
      <c r="F34" s="519"/>
      <c r="G34" s="519"/>
      <c r="H34" s="519"/>
      <c r="I34" s="520"/>
    </row>
    <row r="35" spans="1:9" ht="15" customHeight="1" thickBot="1" x14ac:dyDescent="0.25">
      <c r="A35" s="517"/>
      <c r="B35" s="521"/>
      <c r="C35" s="522"/>
      <c r="D35" s="522"/>
      <c r="E35" s="522"/>
      <c r="F35" s="522"/>
      <c r="G35" s="522"/>
      <c r="H35" s="522"/>
      <c r="I35" s="523"/>
    </row>
    <row r="36" spans="1:9" x14ac:dyDescent="0.2">
      <c r="A36" s="516">
        <v>6</v>
      </c>
      <c r="B36" s="518"/>
      <c r="C36" s="519"/>
      <c r="D36" s="519"/>
      <c r="E36" s="519"/>
      <c r="F36" s="519"/>
      <c r="G36" s="519"/>
      <c r="H36" s="519"/>
      <c r="I36" s="520"/>
    </row>
    <row r="37" spans="1:9" ht="16.5" customHeight="1" thickBot="1" x14ac:dyDescent="0.25">
      <c r="A37" s="517"/>
      <c r="B37" s="521"/>
      <c r="C37" s="522"/>
      <c r="D37" s="522"/>
      <c r="E37" s="522"/>
      <c r="F37" s="522"/>
      <c r="G37" s="522"/>
      <c r="H37" s="522"/>
      <c r="I37" s="523"/>
    </row>
  </sheetData>
  <dataConsolidate/>
  <mergeCells count="28">
    <mergeCell ref="A26:A27"/>
    <mergeCell ref="B26:I27"/>
    <mergeCell ref="A18:F18"/>
    <mergeCell ref="H16:I16"/>
    <mergeCell ref="B20:F20"/>
    <mergeCell ref="H20:I20"/>
    <mergeCell ref="H18:I18"/>
    <mergeCell ref="B22:F22"/>
    <mergeCell ref="H22:I22"/>
    <mergeCell ref="G1:I1"/>
    <mergeCell ref="A1:B1"/>
    <mergeCell ref="G2:I2"/>
    <mergeCell ref="B2:C2"/>
    <mergeCell ref="A24:C24"/>
    <mergeCell ref="F24:H24"/>
    <mergeCell ref="A16:C16"/>
    <mergeCell ref="D16:E16"/>
    <mergeCell ref="F16:G16"/>
    <mergeCell ref="A36:A37"/>
    <mergeCell ref="B36:I37"/>
    <mergeCell ref="A28:A29"/>
    <mergeCell ref="A30:A31"/>
    <mergeCell ref="A32:A33"/>
    <mergeCell ref="A34:A35"/>
    <mergeCell ref="B34:I35"/>
    <mergeCell ref="B28:I29"/>
    <mergeCell ref="B30:I31"/>
    <mergeCell ref="B32:I33"/>
  </mergeCells>
  <phoneticPr fontId="0" type="noConversion"/>
  <conditionalFormatting sqref="I6">
    <cfRule type="cellIs" dxfId="218" priority="14" operator="equal">
      <formula>""</formula>
    </cfRule>
  </conditionalFormatting>
  <conditionalFormatting sqref="I12">
    <cfRule type="cellIs" dxfId="217" priority="13" operator="equal">
      <formula>""</formula>
    </cfRule>
  </conditionalFormatting>
  <conditionalFormatting sqref="H16:I16">
    <cfRule type="cellIs" dxfId="216" priority="11" operator="equal">
      <formula>""</formula>
    </cfRule>
  </conditionalFormatting>
  <conditionalFormatting sqref="H18">
    <cfRule type="cellIs" dxfId="215" priority="10" operator="equal">
      <formula>""</formula>
    </cfRule>
  </conditionalFormatting>
  <conditionalFormatting sqref="H20:I20">
    <cfRule type="cellIs" dxfId="214" priority="9" operator="equal">
      <formula>""</formula>
    </cfRule>
  </conditionalFormatting>
  <conditionalFormatting sqref="D24">
    <cfRule type="cellIs" dxfId="213" priority="8" operator="equal">
      <formula>""</formula>
    </cfRule>
  </conditionalFormatting>
  <conditionalFormatting sqref="I24">
    <cfRule type="cellIs" dxfId="212" priority="7" operator="equal">
      <formula>""</formula>
    </cfRule>
  </conditionalFormatting>
  <conditionalFormatting sqref="D16:E16">
    <cfRule type="cellIs" dxfId="211" priority="1" operator="equal">
      <formula>""</formula>
    </cfRule>
  </conditionalFormatting>
  <dataValidations xWindow="439" yWindow="531" count="7">
    <dataValidation type="list" allowBlank="1" showInputMessage="1" showErrorMessage="1" promptTitle="Dimming" prompt="Select Dimming" sqref="H18" xr:uid="{00000000-0002-0000-0100-000000000000}">
      <formula1>"',YES,NO"</formula1>
    </dataValidation>
    <dataValidation type="list" allowBlank="1" showInputMessage="1" showErrorMessage="1" promptTitle="Controller" prompt="Select Controller Type" sqref="D16:E16" xr:uid="{00000000-0002-0000-0100-000001000000}">
      <formula1>"',ALDRIDGE,ECLIPSE,PSC,QTC"</formula1>
    </dataValidation>
    <dataValidation type="list" allowBlank="1" showInputMessage="1" showErrorMessage="1" sqref="I6 I12" xr:uid="{00000000-0002-0000-0100-000002000000}">
      <formula1>"',YES,NO"</formula1>
    </dataValidation>
    <dataValidation type="list" allowBlank="1" showInputMessage="1" showErrorMessage="1" promptTitle="Lamps" prompt="Select lamp Type" sqref="H20:I20" xr:uid="{00000000-0002-0000-0100-000003000000}">
      <formula1>"',LED,MIXED"</formula1>
    </dataValidation>
    <dataValidation type="list" allowBlank="1" showInputMessage="1" showErrorMessage="1" promptTitle="Main Rd Filter" prompt="Is FILTERING permitted on the MAIN RD" sqref="D24" xr:uid="{00000000-0002-0000-0100-000004000000}">
      <formula1>"Yes,No,N/A"</formula1>
    </dataValidation>
    <dataValidation type="list" allowBlank="1" showInputMessage="1" showErrorMessage="1" promptTitle="Main Rd Filter" prompt="Is FILTERING permitted on the SIDE RD" sqref="I24" xr:uid="{00000000-0002-0000-0100-000005000000}">
      <formula1>"Yes,No,N/A"</formula1>
    </dataValidation>
    <dataValidation type="list" allowBlank="1" showInputMessage="1" showErrorMessage="1" promptTitle="Controller" prompt="Select Controller Type" sqref="H16:I16" xr:uid="{00000000-0002-0000-0100-000006000000}">
      <formula1>"',5,6"</formula1>
    </dataValidation>
  </dataValidations>
  <pageMargins left="0.74803149606299213" right="0.74803149606299213" top="0.98425196850393704" bottom="0.98425196850393704" header="0.51181102362204722" footer="0.51181102362204722"/>
  <pageSetup paperSize="9" orientation="portrait" r:id="rId1"/>
  <headerFooter alignWithMargins="0">
    <oddFooter>&amp;L&amp;A&amp;R&amp;8CIS proforma ver 14g, Jul  '12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
  <sheetViews>
    <sheetView showGridLines="0" topLeftCell="A8" zoomScale="80" zoomScaleNormal="80" workbookViewId="0">
      <selection activeCell="N8" sqref="N8"/>
    </sheetView>
  </sheetViews>
  <sheetFormatPr defaultRowHeight="12.75" x14ac:dyDescent="0.2"/>
  <cols>
    <col min="1" max="1" width="9.140625" style="327"/>
    <col min="2" max="2" width="10.140625" style="327" bestFit="1" customWidth="1"/>
    <col min="3" max="3" width="9.42578125" style="327" bestFit="1" customWidth="1"/>
    <col min="4" max="16384" width="9.140625" style="327"/>
  </cols>
  <sheetData>
    <row r="1" spans="1:13" ht="15" x14ac:dyDescent="0.25">
      <c r="A1" s="559" t="s">
        <v>2</v>
      </c>
      <c r="B1" s="560"/>
      <c r="C1" s="338" t="str">
        <f>'1 - Cover'!C4:F4</f>
        <v>Naylor / Galloway</v>
      </c>
      <c r="D1" s="337"/>
      <c r="E1" s="337"/>
      <c r="F1" s="336" t="s">
        <v>4</v>
      </c>
      <c r="G1" s="561">
        <f>'1 - Cover'!H4</f>
        <v>36</v>
      </c>
      <c r="H1" s="561"/>
      <c r="I1" s="562"/>
    </row>
    <row r="2" spans="1:13" ht="15.75" thickBot="1" x14ac:dyDescent="0.3">
      <c r="A2" s="335" t="s">
        <v>5</v>
      </c>
      <c r="B2" s="563">
        <f>'1 - Cover'!B5</f>
        <v>43546</v>
      </c>
      <c r="C2" s="563"/>
      <c r="D2" s="334" t="s">
        <v>6</v>
      </c>
      <c r="E2" s="333" t="str">
        <f>'1 - Cover'!E5</f>
        <v>3d</v>
      </c>
      <c r="F2" s="332" t="s">
        <v>8</v>
      </c>
      <c r="G2" s="564" t="str">
        <f>'1 - Cover'!H5</f>
        <v>R Thomson</v>
      </c>
      <c r="H2" s="564"/>
      <c r="I2" s="565"/>
    </row>
    <row r="3" spans="1:13" ht="13.5" thickBot="1" x14ac:dyDescent="0.25"/>
    <row r="4" spans="1:13" ht="13.5" thickTop="1" x14ac:dyDescent="0.2">
      <c r="A4" s="566" t="s">
        <v>35</v>
      </c>
      <c r="B4" s="567"/>
      <c r="C4" s="567"/>
      <c r="D4" s="567"/>
      <c r="E4" s="567"/>
      <c r="F4" s="567"/>
      <c r="G4" s="567"/>
      <c r="H4" s="567"/>
      <c r="I4" s="568"/>
    </row>
    <row r="5" spans="1:13" ht="13.5" thickBot="1" x14ac:dyDescent="0.25">
      <c r="A5" s="569"/>
      <c r="B5" s="570"/>
      <c r="C5" s="570"/>
      <c r="D5" s="570"/>
      <c r="E5" s="570"/>
      <c r="F5" s="570"/>
      <c r="G5" s="570"/>
      <c r="H5" s="570"/>
      <c r="I5" s="571"/>
    </row>
    <row r="6" spans="1:13" ht="104.25" customHeight="1" thickTop="1" thickBot="1" x14ac:dyDescent="0.25">
      <c r="A6" s="339">
        <v>1</v>
      </c>
      <c r="B6" s="572" t="s">
        <v>36</v>
      </c>
      <c r="C6" s="573"/>
      <c r="D6" s="573"/>
      <c r="E6" s="573"/>
      <c r="F6" s="573"/>
      <c r="G6" s="573"/>
      <c r="H6" s="573"/>
      <c r="I6" s="574"/>
    </row>
    <row r="7" spans="1:13" ht="104.25" customHeight="1" thickTop="1" thickBot="1" x14ac:dyDescent="0.25">
      <c r="A7" s="329">
        <v>2</v>
      </c>
      <c r="B7" s="556" t="s">
        <v>37</v>
      </c>
      <c r="C7" s="557"/>
      <c r="D7" s="557"/>
      <c r="E7" s="557"/>
      <c r="F7" s="557"/>
      <c r="G7" s="557"/>
      <c r="H7" s="557"/>
      <c r="I7" s="558"/>
    </row>
    <row r="8" spans="1:13" ht="116.25" customHeight="1" thickBot="1" x14ac:dyDescent="0.25">
      <c r="A8" s="328">
        <v>3</v>
      </c>
      <c r="B8" s="550" t="s">
        <v>38</v>
      </c>
      <c r="C8" s="551"/>
      <c r="D8" s="551"/>
      <c r="E8" s="551"/>
      <c r="F8" s="551"/>
      <c r="G8" s="551"/>
      <c r="H8" s="551"/>
      <c r="I8" s="552"/>
    </row>
    <row r="9" spans="1:13" ht="115.5" customHeight="1" thickBot="1" x14ac:dyDescent="0.25">
      <c r="A9" s="331">
        <v>4</v>
      </c>
      <c r="B9" s="553" t="s">
        <v>39</v>
      </c>
      <c r="C9" s="554"/>
      <c r="D9" s="554"/>
      <c r="E9" s="554"/>
      <c r="F9" s="554"/>
      <c r="G9" s="554"/>
      <c r="H9" s="554"/>
      <c r="I9" s="555"/>
      <c r="M9" s="330"/>
    </row>
    <row r="10" spans="1:13" ht="126.75" customHeight="1" thickBot="1" x14ac:dyDescent="0.25">
      <c r="A10" s="331">
        <v>5</v>
      </c>
      <c r="B10" s="553" t="s">
        <v>40</v>
      </c>
      <c r="C10" s="554"/>
      <c r="D10" s="554"/>
      <c r="E10" s="554"/>
      <c r="F10" s="554"/>
      <c r="G10" s="554"/>
      <c r="H10" s="554"/>
      <c r="I10" s="555"/>
      <c r="M10" s="330"/>
    </row>
  </sheetData>
  <mergeCells count="10">
    <mergeCell ref="B8:I8"/>
    <mergeCell ref="B9:I9"/>
    <mergeCell ref="B10:I10"/>
    <mergeCell ref="B7:I7"/>
    <mergeCell ref="A1:B1"/>
    <mergeCell ref="G1:I1"/>
    <mergeCell ref="B2:C2"/>
    <mergeCell ref="G2:I2"/>
    <mergeCell ref="A4:I5"/>
    <mergeCell ref="B6:I6"/>
  </mergeCells>
  <pageMargins left="0.74803149606299213" right="0.74803149606299213" top="0.98425196850393704" bottom="0.98425196850393704" header="0.51181102362204722" footer="0.51181102362204722"/>
  <pageSetup paperSize="9" orientation="portrait" r:id="rId1"/>
  <headerFooter alignWithMargins="0">
    <oddFooter>&amp;L&amp;A&amp;R&amp;8CIS proforma ver 14g, Jul  '12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1">
    <pageSetUpPr fitToPage="1"/>
  </sheetPr>
  <dimension ref="A1:AA51"/>
  <sheetViews>
    <sheetView showGridLines="0" topLeftCell="A28" zoomScaleNormal="100" zoomScaleSheetLayoutView="100" workbookViewId="0">
      <selection activeCell="S30" sqref="S30"/>
    </sheetView>
  </sheetViews>
  <sheetFormatPr defaultRowHeight="12.75" x14ac:dyDescent="0.2"/>
  <cols>
    <col min="1" max="1" width="7.5703125" customWidth="1"/>
    <col min="2" max="2" width="7.85546875" customWidth="1"/>
    <col min="3" max="3" width="7.42578125" customWidth="1"/>
    <col min="4" max="4" width="7.85546875" customWidth="1"/>
    <col min="5" max="8" width="5.7109375" customWidth="1"/>
    <col min="9" max="9" width="6.28515625" customWidth="1"/>
    <col min="10" max="10" width="8.5703125" bestFit="1" customWidth="1"/>
    <col min="11" max="17" width="5.7109375" customWidth="1"/>
    <col min="18" max="18" width="6.42578125" customWidth="1"/>
    <col min="27" max="27" width="9.140625" customWidth="1"/>
  </cols>
  <sheetData>
    <row r="1" spans="1:27" ht="15" x14ac:dyDescent="0.25">
      <c r="A1" s="509" t="s">
        <v>2</v>
      </c>
      <c r="B1" s="510"/>
      <c r="C1" s="388" t="str">
        <f>'1 - Cover'!C4</f>
        <v>Naylor / Galloway</v>
      </c>
      <c r="D1" s="388"/>
      <c r="E1" s="388"/>
      <c r="F1" s="388"/>
      <c r="G1" s="237"/>
      <c r="H1" s="265"/>
      <c r="I1" s="237"/>
      <c r="J1" s="237"/>
      <c r="K1" s="237"/>
      <c r="L1" s="237"/>
      <c r="M1" s="237"/>
      <c r="N1" s="227" t="s">
        <v>4</v>
      </c>
      <c r="O1" s="237"/>
      <c r="P1" s="618">
        <f>'1 - Cover'!H4</f>
        <v>36</v>
      </c>
      <c r="Q1" s="619"/>
      <c r="R1" s="620"/>
    </row>
    <row r="2" spans="1:27" ht="15.75" thickBot="1" x14ac:dyDescent="0.3">
      <c r="A2" s="625" t="s">
        <v>5</v>
      </c>
      <c r="B2" s="626"/>
      <c r="C2" s="534">
        <f>'1 - Cover'!B5</f>
        <v>43546</v>
      </c>
      <c r="D2" s="534"/>
      <c r="E2" s="534"/>
      <c r="F2" s="534"/>
      <c r="G2" s="534"/>
      <c r="H2" s="628" t="s">
        <v>6</v>
      </c>
      <c r="I2" s="628"/>
      <c r="J2" s="238" t="str">
        <f>'1 - Cover'!E5</f>
        <v>3d</v>
      </c>
      <c r="K2" s="239"/>
      <c r="L2" s="239"/>
      <c r="M2" s="239"/>
      <c r="N2" s="236" t="s">
        <v>41</v>
      </c>
      <c r="O2" s="629" t="str">
        <f>'1 - Cover'!H5</f>
        <v>R Thomson</v>
      </c>
      <c r="P2" s="629"/>
      <c r="Q2" s="629"/>
      <c r="R2" s="630"/>
    </row>
    <row r="3" spans="1:27" x14ac:dyDescent="0.2">
      <c r="H3" s="394"/>
      <c r="I3" s="16"/>
    </row>
    <row r="4" spans="1:27" ht="18" x14ac:dyDescent="0.25">
      <c r="A4" s="624" t="s">
        <v>42</v>
      </c>
      <c r="B4" s="624"/>
      <c r="C4" s="624"/>
      <c r="D4" s="624"/>
      <c r="E4" s="624"/>
      <c r="F4" s="624"/>
      <c r="G4" s="624"/>
      <c r="H4" s="624"/>
      <c r="I4" s="624"/>
      <c r="J4" s="624"/>
      <c r="K4" s="624"/>
      <c r="L4" s="624"/>
      <c r="M4" s="624"/>
      <c r="N4" s="624"/>
      <c r="O4" s="624"/>
      <c r="P4" s="624"/>
      <c r="Q4" s="624"/>
      <c r="R4" s="624"/>
      <c r="AA4" t="str">
        <f>'1 - Cover'!H6</f>
        <v>XLOSM</v>
      </c>
    </row>
    <row r="5" spans="1:27" ht="13.5" thickBot="1" x14ac:dyDescent="0.25">
      <c r="A5" s="1"/>
      <c r="B5" s="1"/>
      <c r="AA5" t="str">
        <f>'2 - Install notes'!D24</f>
        <v>N/A</v>
      </c>
    </row>
    <row r="6" spans="1:27" ht="39.75" customHeight="1" thickTop="1" thickBot="1" x14ac:dyDescent="0.25">
      <c r="A6" s="298" t="s">
        <v>43</v>
      </c>
      <c r="B6" s="297" t="s">
        <v>44</v>
      </c>
      <c r="C6" s="297" t="s">
        <v>45</v>
      </c>
      <c r="D6" s="297" t="str">
        <f>IF($AA$4="SDO","C(Z+)",IF($AA$4="SDOS","C(Z+)",IF($AA$4="SDOM","C(Z+)",IF($AA$4="SDOSM","C(Z+)",IF($AA$4="DDO","C(Z+)",IF($AA$4="DDOM","C(Z-+",IF($AA$4="DDOS","C(Z+)",IF($AA$4="DDOSM","C(Z+)",IF($AA$4="T","C)",IF($AA$4="TLM","C",IF($AA$4="TLS","C",IF($AA$4="TLSM","C","C"))))))))))))</f>
        <v>C</v>
      </c>
      <c r="E6" s="297" t="s">
        <v>46</v>
      </c>
      <c r="F6" s="297" t="s">
        <v>47</v>
      </c>
      <c r="G6" s="297" t="str">
        <f>IF($AA$4="DDO","F(XSF5,XSF6)",IF($AA$4="DDOM","F(XSF5,XSF6)",IF($AA$4="DDOS","F(XSF5,XSF6)",IF($AA$4="DDOSM","F(XSF5,XSF6)","F"))))</f>
        <v>F</v>
      </c>
      <c r="H6" s="297" t="s">
        <v>48</v>
      </c>
      <c r="I6" s="297" t="s">
        <v>49</v>
      </c>
      <c r="J6" s="297" t="s">
        <v>43</v>
      </c>
      <c r="K6" s="297" t="str">
        <f>IF(ISBLANK(B6),"",B6)</f>
        <v>A</v>
      </c>
      <c r="L6" s="297" t="str">
        <f t="shared" ref="L6:Q6" si="0">IF(ISBLANK(C6),"",C6)</f>
        <v>B</v>
      </c>
      <c r="M6" s="297" t="str">
        <f t="shared" si="0"/>
        <v>C</v>
      </c>
      <c r="N6" s="297" t="str">
        <f t="shared" si="0"/>
        <v>D</v>
      </c>
      <c r="O6" s="297" t="str">
        <f t="shared" si="0"/>
        <v>E</v>
      </c>
      <c r="P6" s="297" t="str">
        <f t="shared" si="0"/>
        <v>F</v>
      </c>
      <c r="Q6" s="297" t="str">
        <f t="shared" si="0"/>
        <v>G</v>
      </c>
      <c r="R6" s="299" t="s">
        <v>49</v>
      </c>
    </row>
    <row r="7" spans="1:27" ht="13.5" customHeight="1" thickTop="1" x14ac:dyDescent="0.2">
      <c r="A7" s="598">
        <v>1</v>
      </c>
      <c r="B7" s="582"/>
      <c r="C7" s="582" t="s">
        <v>45</v>
      </c>
      <c r="D7" s="582" t="s">
        <v>50</v>
      </c>
      <c r="E7" s="582"/>
      <c r="F7" s="582"/>
      <c r="G7" s="578"/>
      <c r="H7" s="578"/>
      <c r="I7" s="631">
        <v>4</v>
      </c>
      <c r="J7" s="580">
        <v>9</v>
      </c>
      <c r="K7" s="582"/>
      <c r="L7" s="582" t="s">
        <v>45</v>
      </c>
      <c r="M7" s="582" t="s">
        <v>50</v>
      </c>
      <c r="N7" s="582" t="s">
        <v>46</v>
      </c>
      <c r="O7" s="582"/>
      <c r="P7" s="582"/>
      <c r="Q7" s="597"/>
      <c r="R7" s="621">
        <v>76</v>
      </c>
    </row>
    <row r="8" spans="1:27" ht="12.75" customHeight="1" x14ac:dyDescent="0.2">
      <c r="A8" s="585"/>
      <c r="B8" s="583"/>
      <c r="C8" s="579"/>
      <c r="D8" s="583"/>
      <c r="E8" s="579"/>
      <c r="F8" s="579"/>
      <c r="G8" s="579"/>
      <c r="H8" s="579"/>
      <c r="I8" s="632"/>
      <c r="J8" s="581"/>
      <c r="K8" s="579"/>
      <c r="L8" s="579"/>
      <c r="M8" s="579"/>
      <c r="N8" s="579"/>
      <c r="O8" s="579"/>
      <c r="P8" s="596"/>
      <c r="Q8" s="596"/>
      <c r="R8" s="622"/>
    </row>
    <row r="9" spans="1:27" ht="12.75" customHeight="1" x14ac:dyDescent="0.2">
      <c r="A9" s="584">
        <v>2</v>
      </c>
      <c r="B9" s="578"/>
      <c r="C9" s="578"/>
      <c r="D9" s="578" t="s">
        <v>50</v>
      </c>
      <c r="E9" s="578"/>
      <c r="F9" s="578"/>
      <c r="G9" s="578"/>
      <c r="H9" s="578"/>
      <c r="I9" s="611">
        <v>1</v>
      </c>
      <c r="J9" s="608">
        <v>10</v>
      </c>
      <c r="K9" s="595"/>
      <c r="L9" s="595"/>
      <c r="M9" s="595" t="s">
        <v>50</v>
      </c>
      <c r="N9" s="595"/>
      <c r="O9" s="595"/>
      <c r="P9" s="595"/>
      <c r="Q9" s="595"/>
      <c r="R9" s="623">
        <v>44</v>
      </c>
    </row>
    <row r="10" spans="1:27" ht="12.75" customHeight="1" x14ac:dyDescent="0.2">
      <c r="A10" s="585"/>
      <c r="B10" s="579"/>
      <c r="C10" s="583"/>
      <c r="D10" s="579"/>
      <c r="E10" s="583"/>
      <c r="F10" s="579"/>
      <c r="G10" s="579"/>
      <c r="H10" s="579"/>
      <c r="I10" s="612"/>
      <c r="J10" s="581"/>
      <c r="K10" s="596"/>
      <c r="L10" s="596"/>
      <c r="M10" s="596"/>
      <c r="N10" s="596"/>
      <c r="O10" s="596"/>
      <c r="P10" s="596"/>
      <c r="Q10" s="596"/>
      <c r="R10" s="622"/>
    </row>
    <row r="11" spans="1:27" ht="12.75" customHeight="1" x14ac:dyDescent="0.2">
      <c r="A11" s="584">
        <v>3</v>
      </c>
      <c r="B11" s="578"/>
      <c r="C11" s="578" t="s">
        <v>45</v>
      </c>
      <c r="D11" s="578"/>
      <c r="E11" s="578"/>
      <c r="F11" s="578"/>
      <c r="G11" s="578"/>
      <c r="H11" s="578"/>
      <c r="I11" s="611">
        <v>62</v>
      </c>
      <c r="J11" s="608">
        <v>11</v>
      </c>
      <c r="K11" s="595" t="s">
        <v>44</v>
      </c>
      <c r="L11" s="595"/>
      <c r="M11" s="595"/>
      <c r="N11" s="595" t="s">
        <v>46</v>
      </c>
      <c r="O11" s="595"/>
      <c r="P11" s="595"/>
      <c r="Q11" s="595"/>
      <c r="R11" s="623">
        <v>44</v>
      </c>
    </row>
    <row r="12" spans="1:27" ht="18.75" customHeight="1" x14ac:dyDescent="0.2">
      <c r="A12" s="585"/>
      <c r="B12" s="579"/>
      <c r="C12" s="579"/>
      <c r="D12" s="579"/>
      <c r="E12" s="579"/>
      <c r="F12" s="579"/>
      <c r="G12" s="579"/>
      <c r="H12" s="579"/>
      <c r="I12" s="612"/>
      <c r="J12" s="581"/>
      <c r="K12" s="596"/>
      <c r="L12" s="596"/>
      <c r="M12" s="596"/>
      <c r="N12" s="596"/>
      <c r="O12" s="596"/>
      <c r="P12" s="596"/>
      <c r="Q12" s="596"/>
      <c r="R12" s="622"/>
    </row>
    <row r="13" spans="1:27" ht="12.75" customHeight="1" x14ac:dyDescent="0.2">
      <c r="A13" s="584">
        <v>4</v>
      </c>
      <c r="B13" s="578"/>
      <c r="C13" s="578"/>
      <c r="D13" s="578" t="s">
        <v>50</v>
      </c>
      <c r="E13" s="578"/>
      <c r="F13" s="578"/>
      <c r="G13" s="578"/>
      <c r="H13" s="578"/>
      <c r="I13" s="611">
        <v>71</v>
      </c>
      <c r="J13" s="608">
        <v>12</v>
      </c>
      <c r="K13" s="595" t="s">
        <v>44</v>
      </c>
      <c r="L13" s="595" t="s">
        <v>45</v>
      </c>
      <c r="M13" s="595"/>
      <c r="N13" s="595"/>
      <c r="O13" s="595"/>
      <c r="P13" s="595"/>
      <c r="Q13" s="595"/>
      <c r="R13" s="623">
        <v>76</v>
      </c>
    </row>
    <row r="14" spans="1:27" ht="16.5" customHeight="1" x14ac:dyDescent="0.2">
      <c r="A14" s="585"/>
      <c r="B14" s="579"/>
      <c r="C14" s="579"/>
      <c r="D14" s="579"/>
      <c r="E14" s="579"/>
      <c r="F14" s="579"/>
      <c r="G14" s="579"/>
      <c r="H14" s="579"/>
      <c r="I14" s="612"/>
      <c r="J14" s="581"/>
      <c r="K14" s="596"/>
      <c r="L14" s="596"/>
      <c r="M14" s="596"/>
      <c r="N14" s="596"/>
      <c r="O14" s="596"/>
      <c r="P14" s="596"/>
      <c r="Q14" s="596"/>
      <c r="R14" s="622"/>
    </row>
    <row r="15" spans="1:27" ht="12.75" customHeight="1" x14ac:dyDescent="0.2">
      <c r="A15" s="584">
        <v>5</v>
      </c>
      <c r="B15" s="578" t="s">
        <v>44</v>
      </c>
      <c r="C15" s="578"/>
      <c r="D15" s="578"/>
      <c r="E15" s="578" t="s">
        <v>46</v>
      </c>
      <c r="F15" s="578"/>
      <c r="G15" s="578"/>
      <c r="H15" s="578"/>
      <c r="I15" s="611">
        <v>4</v>
      </c>
      <c r="J15" s="608" t="s">
        <v>51</v>
      </c>
      <c r="K15" s="578" t="s">
        <v>52</v>
      </c>
      <c r="L15" s="578"/>
      <c r="M15" s="578"/>
      <c r="N15" s="578" t="s">
        <v>52</v>
      </c>
      <c r="O15" s="578"/>
      <c r="P15" s="578"/>
      <c r="Q15" s="595"/>
      <c r="R15" s="614" t="s">
        <v>53</v>
      </c>
    </row>
    <row r="16" spans="1:27" ht="12.75" customHeight="1" x14ac:dyDescent="0.2">
      <c r="A16" s="585"/>
      <c r="B16" s="579"/>
      <c r="C16" s="579"/>
      <c r="D16" s="579"/>
      <c r="E16" s="579"/>
      <c r="F16" s="579"/>
      <c r="G16" s="579"/>
      <c r="H16" s="579"/>
      <c r="I16" s="612"/>
      <c r="J16" s="581"/>
      <c r="K16" s="579"/>
      <c r="L16" s="579"/>
      <c r="M16" s="579"/>
      <c r="N16" s="579"/>
      <c r="O16" s="579"/>
      <c r="P16" s="596"/>
      <c r="Q16" s="596"/>
      <c r="R16" s="627"/>
    </row>
    <row r="17" spans="1:18" ht="12.75" customHeight="1" x14ac:dyDescent="0.2">
      <c r="A17" s="584">
        <v>6</v>
      </c>
      <c r="B17" s="578" t="s">
        <v>44</v>
      </c>
      <c r="C17" s="578"/>
      <c r="D17" s="578"/>
      <c r="E17" s="578"/>
      <c r="F17" s="578"/>
      <c r="G17" s="578"/>
      <c r="H17" s="578"/>
      <c r="I17" s="611">
        <v>1</v>
      </c>
      <c r="J17" s="608" t="s">
        <v>54</v>
      </c>
      <c r="K17" s="578" t="s">
        <v>52</v>
      </c>
      <c r="L17" s="578"/>
      <c r="M17" s="578"/>
      <c r="N17" s="578"/>
      <c r="O17" s="578"/>
      <c r="P17" s="578"/>
      <c r="Q17" s="595"/>
      <c r="R17" s="614" t="s">
        <v>55</v>
      </c>
    </row>
    <row r="18" spans="1:18" ht="12.75" customHeight="1" x14ac:dyDescent="0.2">
      <c r="A18" s="585"/>
      <c r="B18" s="579"/>
      <c r="C18" s="579"/>
      <c r="D18" s="579"/>
      <c r="E18" s="579"/>
      <c r="F18" s="579"/>
      <c r="G18" s="579"/>
      <c r="H18" s="579"/>
      <c r="I18" s="612"/>
      <c r="J18" s="581"/>
      <c r="K18" s="579"/>
      <c r="L18" s="579"/>
      <c r="M18" s="579"/>
      <c r="N18" s="579"/>
      <c r="O18" s="579"/>
      <c r="P18" s="596"/>
      <c r="Q18" s="596"/>
      <c r="R18" s="627"/>
    </row>
    <row r="19" spans="1:18" ht="12.75" customHeight="1" x14ac:dyDescent="0.2">
      <c r="A19" s="584">
        <v>7</v>
      </c>
      <c r="B19" s="578"/>
      <c r="C19" s="578"/>
      <c r="D19" s="578"/>
      <c r="E19" s="578" t="s">
        <v>46</v>
      </c>
      <c r="F19" s="578"/>
      <c r="G19" s="578"/>
      <c r="H19" s="578"/>
      <c r="I19" s="611" t="s">
        <v>56</v>
      </c>
      <c r="J19" s="608" t="s">
        <v>57</v>
      </c>
      <c r="K19" s="578"/>
      <c r="L19" s="578"/>
      <c r="M19" s="578" t="s">
        <v>52</v>
      </c>
      <c r="N19" s="578"/>
      <c r="O19" s="578"/>
      <c r="P19" s="578"/>
      <c r="Q19" s="595"/>
      <c r="R19" s="614" t="s">
        <v>58</v>
      </c>
    </row>
    <row r="20" spans="1:18" ht="18.75" customHeight="1" x14ac:dyDescent="0.2">
      <c r="A20" s="589"/>
      <c r="B20" s="579"/>
      <c r="C20" s="579"/>
      <c r="D20" s="579"/>
      <c r="E20" s="579"/>
      <c r="F20" s="579"/>
      <c r="G20" s="579"/>
      <c r="H20" s="579"/>
      <c r="I20" s="612"/>
      <c r="J20" s="581"/>
      <c r="K20" s="579"/>
      <c r="L20" s="579"/>
      <c r="M20" s="579"/>
      <c r="N20" s="579"/>
      <c r="O20" s="579"/>
      <c r="P20" s="579"/>
      <c r="Q20" s="596"/>
      <c r="R20" s="627"/>
    </row>
    <row r="21" spans="1:18" ht="12.75" customHeight="1" x14ac:dyDescent="0.2">
      <c r="A21" s="584">
        <v>8</v>
      </c>
      <c r="B21" s="578" t="s">
        <v>44</v>
      </c>
      <c r="C21" s="578"/>
      <c r="D21" s="578"/>
      <c r="E21" s="578" t="str">
        <f>IF($AA$4="DDO","D,D2",IF($AA$4="DDOM","D,D2",IF($AA$4="DDOS","D,D2",IF($AA$4="DDOSM","D,D2",""))))</f>
        <v/>
      </c>
      <c r="F21" s="578"/>
      <c r="G21" s="578" t="str">
        <f>IF($AA$4="DDO","F2",IF($AA$4="DDOM","F2",IF($AA$4="DDOS","F2",IF($AA$4="DDOSM","F2",""))))</f>
        <v/>
      </c>
      <c r="H21" s="578"/>
      <c r="I21" s="611">
        <v>71</v>
      </c>
      <c r="J21" s="608" t="s">
        <v>59</v>
      </c>
      <c r="K21" s="578"/>
      <c r="L21" s="578" t="s">
        <v>52</v>
      </c>
      <c r="M21" s="578" t="s">
        <v>52</v>
      </c>
      <c r="N21" s="578"/>
      <c r="O21" s="578"/>
      <c r="P21" s="578"/>
      <c r="Q21" s="595"/>
      <c r="R21" s="614" t="s">
        <v>60</v>
      </c>
    </row>
    <row r="22" spans="1:18" ht="18.75" customHeight="1" thickBot="1" x14ac:dyDescent="0.25">
      <c r="A22" s="609"/>
      <c r="B22" s="607"/>
      <c r="C22" s="607"/>
      <c r="D22" s="607"/>
      <c r="E22" s="607"/>
      <c r="F22" s="607"/>
      <c r="G22" s="607"/>
      <c r="H22" s="607"/>
      <c r="I22" s="612"/>
      <c r="J22" s="610"/>
      <c r="K22" s="607"/>
      <c r="L22" s="607"/>
      <c r="M22" s="607"/>
      <c r="N22" s="607"/>
      <c r="O22" s="607"/>
      <c r="P22" s="607"/>
      <c r="Q22" s="613"/>
      <c r="R22" s="615"/>
    </row>
    <row r="23" spans="1:18" ht="13.5" thickTop="1" x14ac:dyDescent="0.2">
      <c r="A23" s="17"/>
      <c r="B23" s="18"/>
      <c r="C23" s="18"/>
      <c r="D23" s="18"/>
      <c r="E23" s="18"/>
      <c r="F23" s="18"/>
      <c r="G23" s="19"/>
      <c r="H23" s="20"/>
      <c r="I23" s="19"/>
      <c r="J23" s="17"/>
      <c r="K23" s="18"/>
      <c r="L23" s="18"/>
      <c r="M23" s="18"/>
      <c r="N23" s="18"/>
      <c r="O23" s="18"/>
      <c r="P23" s="18"/>
      <c r="Q23" s="20"/>
      <c r="R23" s="18"/>
    </row>
    <row r="24" spans="1:18" ht="18" x14ac:dyDescent="0.25">
      <c r="A24" s="32"/>
      <c r="B24" s="313"/>
      <c r="D24" s="500" t="s">
        <v>61</v>
      </c>
      <c r="E24" s="500"/>
      <c r="F24" s="500"/>
      <c r="G24" s="500"/>
      <c r="H24" s="500"/>
      <c r="I24" s="500"/>
      <c r="J24" s="500"/>
      <c r="K24" s="500"/>
      <c r="L24" s="500"/>
      <c r="M24" s="500"/>
      <c r="N24" s="500"/>
      <c r="O24" s="500"/>
    </row>
    <row r="25" spans="1:18" ht="13.5" thickBot="1" x14ac:dyDescent="0.25">
      <c r="B25" s="3"/>
    </row>
    <row r="26" spans="1:18" ht="24.95" customHeight="1" thickTop="1" thickBot="1" x14ac:dyDescent="0.25">
      <c r="A26" s="269" t="s">
        <v>62</v>
      </c>
      <c r="B26" s="270" t="s">
        <v>49</v>
      </c>
      <c r="C26" s="590" t="s">
        <v>63</v>
      </c>
      <c r="D26" s="590"/>
      <c r="E26" s="590"/>
      <c r="F26" s="590"/>
      <c r="G26" s="590"/>
      <c r="H26" s="590"/>
      <c r="I26" s="590"/>
      <c r="J26" s="590"/>
      <c r="K26" s="590"/>
      <c r="L26" s="590"/>
      <c r="M26" s="590"/>
      <c r="N26" s="590"/>
      <c r="O26" s="590"/>
      <c r="P26" s="590"/>
      <c r="Q26" s="590"/>
      <c r="R26" s="591"/>
    </row>
    <row r="27" spans="1:18" ht="24.95" customHeight="1" thickTop="1" x14ac:dyDescent="0.2">
      <c r="A27" s="360">
        <f>A19</f>
        <v>7</v>
      </c>
      <c r="B27" s="271" t="str">
        <f t="shared" ref="B27:B29" si="1">IF(ISBLANK($A27),"",IF($A27&lt;9,VLOOKUP($A27,$A$7:$I$22,9,FALSE),VLOOKUP($A27,$J$7:$R$22,9,FALSE)))</f>
        <v>62M</v>
      </c>
      <c r="C27" s="616" t="s">
        <v>64</v>
      </c>
      <c r="D27" s="616"/>
      <c r="E27" s="616"/>
      <c r="F27" s="616"/>
      <c r="G27" s="616"/>
      <c r="H27" s="616"/>
      <c r="I27" s="616"/>
      <c r="J27" s="616"/>
      <c r="K27" s="616"/>
      <c r="L27" s="616"/>
      <c r="M27" s="616"/>
      <c r="N27" s="616"/>
      <c r="O27" s="616"/>
      <c r="P27" s="616"/>
      <c r="Q27" s="616"/>
      <c r="R27" s="617"/>
    </row>
    <row r="28" spans="1:18" ht="29.25" customHeight="1" x14ac:dyDescent="0.2">
      <c r="A28" s="214" t="str">
        <f>J21</f>
        <v>P1(16)</v>
      </c>
      <c r="B28" s="271" t="str">
        <f t="shared" si="1"/>
        <v>PD23M</v>
      </c>
      <c r="C28" s="592" t="s">
        <v>65</v>
      </c>
      <c r="D28" s="593"/>
      <c r="E28" s="593"/>
      <c r="F28" s="593"/>
      <c r="G28" s="593"/>
      <c r="H28" s="593"/>
      <c r="I28" s="593"/>
      <c r="J28" s="593"/>
      <c r="K28" s="593"/>
      <c r="L28" s="593"/>
      <c r="M28" s="593"/>
      <c r="N28" s="593"/>
      <c r="O28" s="593"/>
      <c r="P28" s="593"/>
      <c r="Q28" s="593"/>
      <c r="R28" s="594"/>
    </row>
    <row r="29" spans="1:18" ht="33" customHeight="1" x14ac:dyDescent="0.2">
      <c r="A29" s="214" t="str">
        <f>J15</f>
        <v>P4(13)</v>
      </c>
      <c r="B29" s="271" t="str">
        <f t="shared" si="1"/>
        <v>PD22M</v>
      </c>
      <c r="C29" s="586" t="s">
        <v>66</v>
      </c>
      <c r="D29" s="587"/>
      <c r="E29" s="587"/>
      <c r="F29" s="587"/>
      <c r="G29" s="587"/>
      <c r="H29" s="587"/>
      <c r="I29" s="587"/>
      <c r="J29" s="587"/>
      <c r="K29" s="587"/>
      <c r="L29" s="587"/>
      <c r="M29" s="587"/>
      <c r="N29" s="587"/>
      <c r="O29" s="587"/>
      <c r="P29" s="587"/>
      <c r="Q29" s="587"/>
      <c r="R29" s="588"/>
    </row>
    <row r="30" spans="1:18" ht="24.95" customHeight="1" x14ac:dyDescent="0.2">
      <c r="A30" s="214"/>
      <c r="B30" s="271" t="str">
        <f>IF(ISBLANK($A30),"",IF($A30&lt;9,VLOOKUP($A30,$A$7:$I$22,9,FALSE),VLOOKUP($A30,$J$7:$R$22,9,FALSE)))</f>
        <v/>
      </c>
      <c r="C30" s="586"/>
      <c r="D30" s="587"/>
      <c r="E30" s="587"/>
      <c r="F30" s="587"/>
      <c r="G30" s="587"/>
      <c r="H30" s="587"/>
      <c r="I30" s="587"/>
      <c r="J30" s="587"/>
      <c r="K30" s="587"/>
      <c r="L30" s="587"/>
      <c r="M30" s="587"/>
      <c r="N30" s="587"/>
      <c r="O30" s="587"/>
      <c r="P30" s="587"/>
      <c r="Q30" s="587"/>
      <c r="R30" s="588"/>
    </row>
    <row r="31" spans="1:18" ht="24.95" customHeight="1" x14ac:dyDescent="0.2">
      <c r="A31" s="214"/>
      <c r="B31" s="271" t="str">
        <f>IF(ISBLANK($A31),"",IF($A31&lt;9,VLOOKUP($A31,$A$7:$I$22,9,FALSE),VLOOKUP($A31,$J$7:$R$22,9,FALSE)))</f>
        <v/>
      </c>
      <c r="C31" s="586"/>
      <c r="D31" s="587"/>
      <c r="E31" s="587"/>
      <c r="F31" s="587"/>
      <c r="G31" s="587"/>
      <c r="H31" s="587"/>
      <c r="I31" s="587"/>
      <c r="J31" s="587"/>
      <c r="K31" s="587"/>
      <c r="L31" s="587"/>
      <c r="M31" s="587"/>
      <c r="N31" s="587"/>
      <c r="O31" s="587"/>
      <c r="P31" s="587"/>
      <c r="Q31" s="587"/>
      <c r="R31" s="588"/>
    </row>
    <row r="32" spans="1:18" ht="24.75" customHeight="1" x14ac:dyDescent="0.2">
      <c r="A32" s="342"/>
      <c r="B32" s="343" t="str">
        <f>IF(ISBLANK($A32),"",IF($A32&lt;9,VLOOKUP($A32,$A$7:$I$22,9,FALSE),VLOOKUP($A32,$J$7:$R$22,9,FALSE)))</f>
        <v/>
      </c>
      <c r="C32" s="586"/>
      <c r="D32" s="587"/>
      <c r="E32" s="587"/>
      <c r="F32" s="587"/>
      <c r="G32" s="587"/>
      <c r="H32" s="587"/>
      <c r="I32" s="587"/>
      <c r="J32" s="587"/>
      <c r="K32" s="587"/>
      <c r="L32" s="587"/>
      <c r="M32" s="587"/>
      <c r="N32" s="587"/>
      <c r="O32" s="587"/>
      <c r="P32" s="587"/>
      <c r="Q32" s="587"/>
      <c r="R32" s="588"/>
    </row>
    <row r="33" spans="1:18" ht="33" customHeight="1" thickBot="1" x14ac:dyDescent="0.25">
      <c r="A33" s="344"/>
      <c r="B33" s="345" t="str">
        <f>IF(ISBLANK($A33),"",IF($A33&lt;9,VLOOKUP($A33,$A$7:$I$22,9,FALSE),VLOOKUP($A33,$J$7:$R$22,9,FALSE)))</f>
        <v/>
      </c>
      <c r="C33" s="602"/>
      <c r="D33" s="602"/>
      <c r="E33" s="602"/>
      <c r="F33" s="602"/>
      <c r="G33" s="602"/>
      <c r="H33" s="602"/>
      <c r="I33" s="602"/>
      <c r="J33" s="602"/>
      <c r="K33" s="602"/>
      <c r="L33" s="602"/>
      <c r="M33" s="602"/>
      <c r="N33" s="602"/>
      <c r="O33" s="602"/>
      <c r="P33" s="602"/>
      <c r="Q33" s="602"/>
      <c r="R33" s="603"/>
    </row>
    <row r="34" spans="1:18" ht="13.5" thickTop="1" x14ac:dyDescent="0.2">
      <c r="A34" s="3"/>
      <c r="B34" s="3"/>
      <c r="F34" s="3"/>
      <c r="J34" s="3"/>
    </row>
    <row r="35" spans="1:18" x14ac:dyDescent="0.2">
      <c r="A35" s="3"/>
      <c r="B35" s="3"/>
      <c r="F35" s="3"/>
      <c r="J35" s="3"/>
    </row>
    <row r="36" spans="1:18" x14ac:dyDescent="0.2">
      <c r="A36" s="1"/>
      <c r="B36" s="1"/>
    </row>
    <row r="37" spans="1:18" s="11" customFormat="1" ht="24.95" customHeight="1" x14ac:dyDescent="0.25">
      <c r="A37"/>
      <c r="B37"/>
      <c r="C37"/>
      <c r="D37"/>
      <c r="E37"/>
      <c r="F37"/>
      <c r="G37"/>
      <c r="H37" s="26" t="s">
        <v>67</v>
      </c>
      <c r="I37"/>
      <c r="J37"/>
      <c r="K37"/>
      <c r="L37"/>
      <c r="M37"/>
      <c r="N37"/>
      <c r="O37"/>
      <c r="P37"/>
      <c r="Q37"/>
      <c r="R37"/>
    </row>
    <row r="38" spans="1:18" s="11" customFormat="1" ht="24.95" customHeight="1" thickBot="1" x14ac:dyDescent="0.25">
      <c r="A38"/>
      <c r="B38"/>
      <c r="C38"/>
      <c r="D38"/>
      <c r="E38"/>
      <c r="F38" s="1"/>
      <c r="G38" s="1"/>
      <c r="H38"/>
      <c r="I38"/>
      <c r="J38"/>
      <c r="K38"/>
      <c r="L38"/>
      <c r="M38"/>
      <c r="N38"/>
      <c r="O38"/>
      <c r="P38"/>
      <c r="Q38"/>
      <c r="R38"/>
    </row>
    <row r="39" spans="1:18" s="11" customFormat="1" ht="24.95" customHeight="1" thickTop="1" thickBot="1" x14ac:dyDescent="0.25">
      <c r="A39" s="575" t="s">
        <v>68</v>
      </c>
      <c r="B39" s="576"/>
      <c r="C39" s="577"/>
      <c r="D39" s="604" t="s">
        <v>44</v>
      </c>
      <c r="E39" s="605"/>
      <c r="F39" s="120"/>
      <c r="G39" s="120"/>
      <c r="H39" s="120"/>
      <c r="I39" s="120"/>
      <c r="J39" s="120"/>
      <c r="K39" s="120"/>
      <c r="L39" s="120"/>
      <c r="M39" s="120"/>
      <c r="N39" s="120"/>
      <c r="O39" s="120"/>
      <c r="P39" s="120"/>
      <c r="Q39" s="120"/>
      <c r="R39" s="120"/>
    </row>
    <row r="40" spans="1:18" ht="16.5" thickTop="1" thickBot="1" x14ac:dyDescent="0.25">
      <c r="A40" s="121"/>
      <c r="B40" s="120"/>
      <c r="C40" s="120"/>
      <c r="D40" s="120"/>
      <c r="E40" s="120"/>
      <c r="F40" s="120"/>
      <c r="G40" s="121"/>
      <c r="H40" s="120"/>
      <c r="I40" s="120"/>
      <c r="J40" s="120"/>
      <c r="K40" s="120"/>
      <c r="L40" s="120"/>
      <c r="M40" s="120"/>
      <c r="N40" s="120"/>
      <c r="O40" s="120"/>
      <c r="P40" s="120"/>
      <c r="Q40" s="120"/>
      <c r="R40" s="120"/>
    </row>
    <row r="41" spans="1:18" ht="16.5" thickTop="1" thickBot="1" x14ac:dyDescent="0.25">
      <c r="A41" s="575" t="s">
        <v>69</v>
      </c>
      <c r="B41" s="576"/>
      <c r="C41" s="577"/>
      <c r="D41" s="599" t="s">
        <v>70</v>
      </c>
      <c r="E41" s="600"/>
      <c r="F41" s="600"/>
      <c r="G41" s="600"/>
      <c r="H41" s="601"/>
      <c r="I41" s="122"/>
      <c r="J41" s="575" t="s">
        <v>71</v>
      </c>
      <c r="K41" s="576"/>
      <c r="L41" s="576"/>
      <c r="M41" s="577"/>
      <c r="N41" s="604" t="s">
        <v>72</v>
      </c>
      <c r="O41" s="606"/>
      <c r="P41" s="606"/>
      <c r="Q41" s="606"/>
      <c r="R41" s="605"/>
    </row>
    <row r="42" spans="1:18" ht="15.75" thickTop="1" x14ac:dyDescent="0.2">
      <c r="A42" s="13"/>
      <c r="D42" s="14"/>
      <c r="E42" s="14"/>
      <c r="F42" s="14"/>
      <c r="G42" s="14"/>
      <c r="H42" s="14"/>
      <c r="I42" s="4"/>
      <c r="J42" s="12"/>
      <c r="K42" s="5"/>
      <c r="N42" s="14"/>
      <c r="O42" s="14"/>
      <c r="P42" s="14"/>
      <c r="Q42" s="14"/>
      <c r="R42" s="14"/>
    </row>
    <row r="43" spans="1:18" ht="15" x14ac:dyDescent="0.2">
      <c r="A43" s="13"/>
      <c r="D43" s="14"/>
      <c r="E43" s="14"/>
      <c r="F43" s="14"/>
      <c r="G43" s="14"/>
      <c r="H43" s="14"/>
      <c r="I43" s="4"/>
      <c r="J43" s="12"/>
      <c r="K43" s="5"/>
      <c r="N43" s="14"/>
      <c r="O43" s="14"/>
      <c r="P43" s="14"/>
      <c r="Q43" s="14"/>
      <c r="R43" s="14"/>
    </row>
    <row r="44" spans="1:18" x14ac:dyDescent="0.2">
      <c r="A44" s="3"/>
      <c r="B44" s="3"/>
    </row>
    <row r="45" spans="1:18" ht="24" customHeight="1" x14ac:dyDescent="0.2"/>
    <row r="46" spans="1:18" ht="16.5" customHeight="1" x14ac:dyDescent="0.2"/>
    <row r="47" spans="1:18" ht="20.100000000000001" customHeight="1" x14ac:dyDescent="0.25">
      <c r="C47" s="175" t="s">
        <v>73</v>
      </c>
      <c r="D47" s="175"/>
      <c r="E47" s="175"/>
      <c r="F47" s="175"/>
      <c r="G47" s="175"/>
    </row>
    <row r="48" spans="1:18" ht="20.100000000000001" customHeight="1" x14ac:dyDescent="0.2">
      <c r="D48" s="33"/>
      <c r="E48" s="33"/>
      <c r="F48" s="33"/>
      <c r="G48" s="33"/>
    </row>
    <row r="49" spans="4:7" ht="20.100000000000001" customHeight="1" x14ac:dyDescent="0.35">
      <c r="D49" s="179"/>
      <c r="E49" s="177" t="s">
        <v>74</v>
      </c>
      <c r="F49" s="178"/>
      <c r="G49" s="176"/>
    </row>
    <row r="50" spans="4:7" ht="19.5" x14ac:dyDescent="0.35">
      <c r="D50" s="33"/>
      <c r="E50" s="177"/>
      <c r="F50" s="178"/>
      <c r="G50" s="176"/>
    </row>
    <row r="51" spans="4:7" ht="19.5" x14ac:dyDescent="0.35">
      <c r="D51" s="395"/>
      <c r="E51" s="177" t="s">
        <v>75</v>
      </c>
      <c r="F51" s="178"/>
      <c r="G51" s="176"/>
    </row>
  </sheetData>
  <mergeCells count="166">
    <mergeCell ref="R9:R10"/>
    <mergeCell ref="O9:O10"/>
    <mergeCell ref="P9:P10"/>
    <mergeCell ref="H2:I2"/>
    <mergeCell ref="O2:R2"/>
    <mergeCell ref="H7:H8"/>
    <mergeCell ref="I7:I8"/>
    <mergeCell ref="F9:F10"/>
    <mergeCell ref="H9:H10"/>
    <mergeCell ref="I9:I10"/>
    <mergeCell ref="J9:J10"/>
    <mergeCell ref="K9:K10"/>
    <mergeCell ref="C2:G2"/>
    <mergeCell ref="C9:C10"/>
    <mergeCell ref="D9:D10"/>
    <mergeCell ref="E9:E10"/>
    <mergeCell ref="F7:F8"/>
    <mergeCell ref="K7:K8"/>
    <mergeCell ref="Q9:Q10"/>
    <mergeCell ref="L7:L8"/>
    <mergeCell ref="M7:M8"/>
    <mergeCell ref="N9:N10"/>
    <mergeCell ref="J15:J16"/>
    <mergeCell ref="P17:P18"/>
    <mergeCell ref="Q17:Q18"/>
    <mergeCell ref="P11:P12"/>
    <mergeCell ref="Q13:Q14"/>
    <mergeCell ref="M15:M16"/>
    <mergeCell ref="P13:P14"/>
    <mergeCell ref="K13:K14"/>
    <mergeCell ref="O13:O14"/>
    <mergeCell ref="M13:M14"/>
    <mergeCell ref="K15:K16"/>
    <mergeCell ref="K17:K18"/>
    <mergeCell ref="Q15:Q16"/>
    <mergeCell ref="N13:N14"/>
    <mergeCell ref="L11:L12"/>
    <mergeCell ref="L13:L14"/>
    <mergeCell ref="R17:R18"/>
    <mergeCell ref="N19:N20"/>
    <mergeCell ref="O15:O16"/>
    <mergeCell ref="P15:P16"/>
    <mergeCell ref="L15:L16"/>
    <mergeCell ref="R15:R16"/>
    <mergeCell ref="N15:N16"/>
    <mergeCell ref="Q19:Q20"/>
    <mergeCell ref="R19:R20"/>
    <mergeCell ref="P1:R1"/>
    <mergeCell ref="R7:R8"/>
    <mergeCell ref="O21:O22"/>
    <mergeCell ref="Q11:Q12"/>
    <mergeCell ref="R11:R12"/>
    <mergeCell ref="R13:R14"/>
    <mergeCell ref="P7:P8"/>
    <mergeCell ref="A4:R4"/>
    <mergeCell ref="F13:F14"/>
    <mergeCell ref="H13:H14"/>
    <mergeCell ref="G9:G10"/>
    <mergeCell ref="A13:A14"/>
    <mergeCell ref="B13:B14"/>
    <mergeCell ref="C13:C14"/>
    <mergeCell ref="D13:D14"/>
    <mergeCell ref="C15:C16"/>
    <mergeCell ref="D15:D16"/>
    <mergeCell ref="A15:A16"/>
    <mergeCell ref="L9:L10"/>
    <mergeCell ref="M9:M10"/>
    <mergeCell ref="G17:G18"/>
    <mergeCell ref="A1:B1"/>
    <mergeCell ref="A2:B2"/>
    <mergeCell ref="I15:I16"/>
    <mergeCell ref="C31:R31"/>
    <mergeCell ref="P19:P20"/>
    <mergeCell ref="I19:I20"/>
    <mergeCell ref="F19:F20"/>
    <mergeCell ref="C30:R30"/>
    <mergeCell ref="M21:M22"/>
    <mergeCell ref="P21:P22"/>
    <mergeCell ref="D24:O24"/>
    <mergeCell ref="Q21:Q22"/>
    <mergeCell ref="L21:L22"/>
    <mergeCell ref="C21:C22"/>
    <mergeCell ref="D21:D22"/>
    <mergeCell ref="E19:E20"/>
    <mergeCell ref="G21:G22"/>
    <mergeCell ref="K19:K20"/>
    <mergeCell ref="I21:I22"/>
    <mergeCell ref="E21:E22"/>
    <mergeCell ref="F21:F22"/>
    <mergeCell ref="R21:R22"/>
    <mergeCell ref="K21:K22"/>
    <mergeCell ref="O19:O20"/>
    <mergeCell ref="C29:R29"/>
    <mergeCell ref="C27:R27"/>
    <mergeCell ref="A21:A22"/>
    <mergeCell ref="B21:B22"/>
    <mergeCell ref="G19:G20"/>
    <mergeCell ref="J21:J22"/>
    <mergeCell ref="E11:E12"/>
    <mergeCell ref="F11:F12"/>
    <mergeCell ref="H11:H12"/>
    <mergeCell ref="G11:G12"/>
    <mergeCell ref="I11:I12"/>
    <mergeCell ref="I17:I18"/>
    <mergeCell ref="G13:G14"/>
    <mergeCell ref="B15:B16"/>
    <mergeCell ref="H15:H16"/>
    <mergeCell ref="F15:F16"/>
    <mergeCell ref="J11:J12"/>
    <mergeCell ref="I13:I14"/>
    <mergeCell ref="C17:C18"/>
    <mergeCell ref="D17:D18"/>
    <mergeCell ref="F17:F18"/>
    <mergeCell ref="E17:E18"/>
    <mergeCell ref="G15:G16"/>
    <mergeCell ref="J13:J14"/>
    <mergeCell ref="E13:E14"/>
    <mergeCell ref="E15:E16"/>
    <mergeCell ref="A7:A8"/>
    <mergeCell ref="B7:B8"/>
    <mergeCell ref="N17:N18"/>
    <mergeCell ref="L17:L18"/>
    <mergeCell ref="M17:M18"/>
    <mergeCell ref="D41:H41"/>
    <mergeCell ref="A41:C41"/>
    <mergeCell ref="J41:M41"/>
    <mergeCell ref="C33:R33"/>
    <mergeCell ref="D39:E39"/>
    <mergeCell ref="N41:R41"/>
    <mergeCell ref="O17:O18"/>
    <mergeCell ref="N21:N22"/>
    <mergeCell ref="H17:H18"/>
    <mergeCell ref="M19:M20"/>
    <mergeCell ref="H21:H22"/>
    <mergeCell ref="J17:J18"/>
    <mergeCell ref="J19:J20"/>
    <mergeCell ref="L19:L20"/>
    <mergeCell ref="C19:C20"/>
    <mergeCell ref="D19:D20"/>
    <mergeCell ref="H19:H20"/>
    <mergeCell ref="A17:A18"/>
    <mergeCell ref="B17:B18"/>
    <mergeCell ref="A39:C39"/>
    <mergeCell ref="G7:G8"/>
    <mergeCell ref="J7:J8"/>
    <mergeCell ref="D11:D12"/>
    <mergeCell ref="D7:D8"/>
    <mergeCell ref="E7:E8"/>
    <mergeCell ref="C7:C8"/>
    <mergeCell ref="A11:A12"/>
    <mergeCell ref="C32:R32"/>
    <mergeCell ref="B11:B12"/>
    <mergeCell ref="C11:C12"/>
    <mergeCell ref="A19:A20"/>
    <mergeCell ref="B19:B20"/>
    <mergeCell ref="C26:R26"/>
    <mergeCell ref="C28:R28"/>
    <mergeCell ref="M11:M12"/>
    <mergeCell ref="N11:N12"/>
    <mergeCell ref="O11:O12"/>
    <mergeCell ref="O7:O8"/>
    <mergeCell ref="Q7:Q8"/>
    <mergeCell ref="N7:N8"/>
    <mergeCell ref="K11:K12"/>
    <mergeCell ref="A9:A10"/>
    <mergeCell ref="B9:B10"/>
  </mergeCells>
  <phoneticPr fontId="0" type="noConversion"/>
  <pageMargins left="0.39370078740157483" right="0.39370078740157483" top="0.39370078740157483" bottom="0" header="0.39370078740157483" footer="0.39370078740157483"/>
  <pageSetup paperSize="9" scale="84" orientation="portrait" r:id="rId1"/>
  <headerFooter alignWithMargins="0">
    <oddFooter>&amp;L&amp;A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I37"/>
  <sheetViews>
    <sheetView topLeftCell="A13" zoomScaleNormal="100" workbookViewId="0">
      <selection activeCell="I30" sqref="I30"/>
    </sheetView>
  </sheetViews>
  <sheetFormatPr defaultRowHeight="12.75" x14ac:dyDescent="0.2"/>
  <cols>
    <col min="1" max="1" width="13.85546875" customWidth="1"/>
    <col min="2" max="2" width="3.7109375" customWidth="1"/>
    <col min="8" max="8" width="14.28515625" customWidth="1"/>
  </cols>
  <sheetData>
    <row r="1" spans="1:9" ht="15" customHeight="1" x14ac:dyDescent="0.25">
      <c r="A1" s="240" t="s">
        <v>2</v>
      </c>
      <c r="B1" s="388" t="str">
        <f>'1 - Cover'!C4</f>
        <v>Naylor / Galloway</v>
      </c>
      <c r="C1" s="241"/>
      <c r="D1" s="388"/>
      <c r="E1" s="388"/>
      <c r="F1" s="388"/>
      <c r="G1" s="242" t="s">
        <v>4</v>
      </c>
      <c r="H1" s="511">
        <f>'1 - Cover'!H4</f>
        <v>36</v>
      </c>
      <c r="I1" s="512"/>
    </row>
    <row r="2" spans="1:9" ht="15.75" thickBot="1" x14ac:dyDescent="0.3">
      <c r="A2" s="234" t="s">
        <v>5</v>
      </c>
      <c r="B2" s="534">
        <f>'1 - Cover'!B5</f>
        <v>43546</v>
      </c>
      <c r="C2" s="666"/>
      <c r="D2" s="668" t="s">
        <v>6</v>
      </c>
      <c r="E2" s="668"/>
      <c r="F2" s="393" t="str">
        <f>'1 - Cover'!E5</f>
        <v>3d</v>
      </c>
      <c r="G2" s="243" t="s">
        <v>41</v>
      </c>
      <c r="H2" s="666" t="str">
        <f>'1 - Cover'!H5</f>
        <v>R Thomson</v>
      </c>
      <c r="I2" s="669"/>
    </row>
    <row r="4" spans="1:9" x14ac:dyDescent="0.2">
      <c r="A4" s="2"/>
      <c r="B4" s="2"/>
      <c r="C4" s="2"/>
      <c r="D4" s="2"/>
      <c r="E4" s="2"/>
      <c r="F4" s="2"/>
      <c r="G4" s="2"/>
      <c r="H4" s="2"/>
    </row>
    <row r="5" spans="1:9" ht="18" x14ac:dyDescent="0.25">
      <c r="A5" s="624" t="s">
        <v>76</v>
      </c>
      <c r="B5" s="624"/>
      <c r="C5" s="624"/>
      <c r="D5" s="624"/>
      <c r="E5" s="624"/>
      <c r="F5" s="624"/>
      <c r="G5" s="624"/>
      <c r="H5" s="624"/>
    </row>
    <row r="6" spans="1:9" ht="13.5" thickBot="1" x14ac:dyDescent="0.25">
      <c r="B6" s="3"/>
      <c r="C6" s="3"/>
    </row>
    <row r="7" spans="1:9" ht="39.75" customHeight="1" thickTop="1" thickBot="1" x14ac:dyDescent="0.25">
      <c r="A7" s="676" t="s">
        <v>77</v>
      </c>
      <c r="B7" s="677"/>
      <c r="C7" s="670" t="s">
        <v>78</v>
      </c>
      <c r="D7" s="678"/>
      <c r="E7" s="670" t="s">
        <v>79</v>
      </c>
      <c r="F7" s="671"/>
      <c r="G7" s="677" t="s">
        <v>80</v>
      </c>
      <c r="H7" s="680"/>
    </row>
    <row r="8" spans="1:9" ht="18" customHeight="1" thickTop="1" x14ac:dyDescent="0.3">
      <c r="A8" s="674" t="str">
        <f>IF(ISBLANK('3 - Signal Group Info'!B$6),"",'3 - Signal Group Info'!B$6)</f>
        <v>A</v>
      </c>
      <c r="B8" s="675"/>
      <c r="C8" s="672"/>
      <c r="D8" s="679"/>
      <c r="E8" s="672"/>
      <c r="F8" s="673"/>
      <c r="G8" s="681"/>
      <c r="H8" s="682"/>
    </row>
    <row r="9" spans="1:9" ht="18" customHeight="1" x14ac:dyDescent="0.3">
      <c r="A9" s="662" t="str">
        <f>IF(ISBLANK('3 - Signal Group Info'!C$6),"",'3 - Signal Group Info'!C$6)</f>
        <v>B</v>
      </c>
      <c r="B9" s="634"/>
      <c r="C9" s="655"/>
      <c r="D9" s="659"/>
      <c r="E9" s="655"/>
      <c r="F9" s="656"/>
      <c r="G9" s="651"/>
      <c r="H9" s="652"/>
    </row>
    <row r="10" spans="1:9" ht="18" customHeight="1" x14ac:dyDescent="0.3">
      <c r="A10" s="662" t="str">
        <f>IF(ISBLANK('3 - Signal Group Info'!D$6),"",'3 - Signal Group Info'!D$6)</f>
        <v>C</v>
      </c>
      <c r="B10" s="634"/>
      <c r="C10" s="655"/>
      <c r="D10" s="659"/>
      <c r="E10" s="655"/>
      <c r="F10" s="656"/>
      <c r="G10" s="651"/>
      <c r="H10" s="652"/>
    </row>
    <row r="11" spans="1:9" ht="38.25" customHeight="1" x14ac:dyDescent="0.3">
      <c r="A11" s="662" t="str">
        <f>IF(ISBLANK('3 - Signal Group Info'!E$6),"",'3 - Signal Group Info'!E$6)</f>
        <v>D</v>
      </c>
      <c r="B11" s="634"/>
      <c r="C11" s="655"/>
      <c r="D11" s="659"/>
      <c r="E11" s="655"/>
      <c r="F11" s="656"/>
      <c r="G11" s="651"/>
      <c r="H11" s="652"/>
    </row>
    <row r="12" spans="1:9" ht="18" customHeight="1" x14ac:dyDescent="0.3">
      <c r="A12" s="662" t="str">
        <f>IF(ISBLANK('3 - Signal Group Info'!F$6),"",'3 - Signal Group Info'!F$6)</f>
        <v>E</v>
      </c>
      <c r="B12" s="634"/>
      <c r="C12" s="655"/>
      <c r="D12" s="659"/>
      <c r="E12" s="655"/>
      <c r="F12" s="656"/>
      <c r="G12" s="651"/>
      <c r="H12" s="652"/>
    </row>
    <row r="13" spans="1:9" ht="18" customHeight="1" x14ac:dyDescent="0.3">
      <c r="A13" s="662" t="str">
        <f>IF(ISBLANK('3 - Signal Group Info'!G$6),"",'3 - Signal Group Info'!G$6)</f>
        <v>F</v>
      </c>
      <c r="B13" s="634"/>
      <c r="C13" s="655"/>
      <c r="D13" s="659"/>
      <c r="E13" s="655"/>
      <c r="F13" s="656"/>
      <c r="G13" s="651"/>
      <c r="H13" s="652"/>
    </row>
    <row r="14" spans="1:9" ht="18" customHeight="1" thickBot="1" x14ac:dyDescent="0.35">
      <c r="A14" s="660" t="str">
        <f>IF(ISBLANK('3 - Signal Group Info'!H$6),"",'3 - Signal Group Info'!H$6)</f>
        <v>G</v>
      </c>
      <c r="B14" s="661"/>
      <c r="C14" s="657"/>
      <c r="D14" s="667"/>
      <c r="E14" s="657"/>
      <c r="F14" s="658"/>
      <c r="G14" s="653"/>
      <c r="H14" s="654"/>
      <c r="I14" s="47"/>
    </row>
    <row r="15" spans="1:9" ht="18" customHeight="1" thickTop="1" x14ac:dyDescent="0.3">
      <c r="C15" s="60"/>
      <c r="D15" s="60"/>
      <c r="E15" s="60"/>
      <c r="F15" s="60"/>
      <c r="G15" s="61"/>
      <c r="H15" s="61"/>
      <c r="I15" s="47"/>
    </row>
    <row r="17" spans="1:8" ht="18" x14ac:dyDescent="0.25">
      <c r="A17" s="624" t="s">
        <v>81</v>
      </c>
      <c r="B17" s="624"/>
      <c r="C17" s="624"/>
      <c r="D17" s="624"/>
      <c r="E17" s="624"/>
      <c r="F17" s="624"/>
      <c r="G17" s="624"/>
      <c r="H17" s="624"/>
    </row>
    <row r="18" spans="1:8" ht="13.5" thickBot="1" x14ac:dyDescent="0.25"/>
    <row r="19" spans="1:8" ht="18.75" thickTop="1" x14ac:dyDescent="0.2">
      <c r="A19" s="663" t="s">
        <v>81</v>
      </c>
      <c r="B19" s="664"/>
      <c r="C19" s="664"/>
      <c r="D19" s="664"/>
      <c r="E19" s="664"/>
      <c r="F19" s="664"/>
      <c r="G19" s="664"/>
      <c r="H19" s="665"/>
    </row>
    <row r="20" spans="1:8" ht="56.25" customHeight="1" thickBot="1" x14ac:dyDescent="0.25">
      <c r="A20" s="635" t="s">
        <v>82</v>
      </c>
      <c r="B20" s="636"/>
      <c r="C20" s="637" t="s">
        <v>83</v>
      </c>
      <c r="D20" s="636"/>
      <c r="E20" s="637" t="s">
        <v>84</v>
      </c>
      <c r="F20" s="639"/>
      <c r="G20" s="637" t="s">
        <v>85</v>
      </c>
      <c r="H20" s="638"/>
    </row>
    <row r="21" spans="1:8" ht="18" customHeight="1" thickTop="1" x14ac:dyDescent="0.25">
      <c r="A21" s="640" t="str">
        <f t="shared" ref="A21:A27" si="0">A8</f>
        <v>A</v>
      </c>
      <c r="B21" s="641"/>
      <c r="C21" s="647" t="s">
        <v>16</v>
      </c>
      <c r="D21" s="646"/>
      <c r="E21" s="645" t="s">
        <v>16</v>
      </c>
      <c r="F21" s="646"/>
      <c r="G21" s="643"/>
      <c r="H21" s="644"/>
    </row>
    <row r="22" spans="1:8" ht="18" customHeight="1" x14ac:dyDescent="0.25">
      <c r="A22" s="640" t="str">
        <f t="shared" si="0"/>
        <v>B</v>
      </c>
      <c r="B22" s="641"/>
      <c r="C22" s="633"/>
      <c r="D22" s="634"/>
      <c r="E22" s="633" t="s">
        <v>16</v>
      </c>
      <c r="F22" s="634"/>
      <c r="G22" s="633"/>
      <c r="H22" s="634"/>
    </row>
    <row r="23" spans="1:8" ht="18" customHeight="1" x14ac:dyDescent="0.25">
      <c r="A23" s="640" t="str">
        <f t="shared" si="0"/>
        <v>C</v>
      </c>
      <c r="B23" s="641"/>
      <c r="C23" s="642" t="s">
        <v>86</v>
      </c>
      <c r="D23" s="634"/>
      <c r="E23" s="642" t="s">
        <v>16</v>
      </c>
      <c r="F23" s="634"/>
      <c r="G23" s="633"/>
      <c r="H23" s="634"/>
    </row>
    <row r="24" spans="1:8" ht="20.25" customHeight="1" x14ac:dyDescent="0.25">
      <c r="A24" s="640" t="str">
        <f t="shared" si="0"/>
        <v>D</v>
      </c>
      <c r="B24" s="641"/>
      <c r="C24" s="642" t="s">
        <v>86</v>
      </c>
      <c r="D24" s="634"/>
      <c r="E24" s="642" t="s">
        <v>16</v>
      </c>
      <c r="F24" s="634"/>
      <c r="G24" s="633"/>
      <c r="H24" s="634"/>
    </row>
    <row r="25" spans="1:8" ht="18" customHeight="1" x14ac:dyDescent="0.25">
      <c r="A25" s="640" t="str">
        <f t="shared" si="0"/>
        <v>E</v>
      </c>
      <c r="B25" s="641"/>
      <c r="C25" s="633"/>
      <c r="D25" s="634"/>
      <c r="E25" s="633"/>
      <c r="F25" s="634"/>
      <c r="G25" s="633"/>
      <c r="H25" s="634"/>
    </row>
    <row r="26" spans="1:8" ht="18" customHeight="1" x14ac:dyDescent="0.25">
      <c r="A26" s="662" t="str">
        <f t="shared" si="0"/>
        <v>F</v>
      </c>
      <c r="B26" s="634"/>
      <c r="C26" s="633"/>
      <c r="D26" s="634"/>
      <c r="E26" s="633"/>
      <c r="F26" s="634"/>
      <c r="G26" s="633"/>
      <c r="H26" s="634"/>
    </row>
    <row r="27" spans="1:8" ht="18" customHeight="1" thickBot="1" x14ac:dyDescent="0.3">
      <c r="A27" s="660" t="str">
        <f t="shared" si="0"/>
        <v>G</v>
      </c>
      <c r="B27" s="661"/>
      <c r="C27" s="633"/>
      <c r="D27" s="634"/>
      <c r="E27" s="633"/>
      <c r="F27" s="634"/>
      <c r="G27" s="633"/>
      <c r="H27" s="634"/>
    </row>
    <row r="28" spans="1:8" ht="13.5" thickTop="1" x14ac:dyDescent="0.2"/>
    <row r="29" spans="1:8" x14ac:dyDescent="0.2">
      <c r="A29" s="648" t="s">
        <v>87</v>
      </c>
      <c r="B29" s="649"/>
      <c r="C29" s="649"/>
      <c r="D29" s="649"/>
      <c r="E29" s="649"/>
      <c r="F29" s="649"/>
      <c r="G29" s="649"/>
      <c r="H29" s="649"/>
    </row>
    <row r="30" spans="1:8" x14ac:dyDescent="0.2">
      <c r="A30" s="649" t="s">
        <v>88</v>
      </c>
      <c r="B30" s="649"/>
      <c r="C30" s="649"/>
      <c r="D30" s="649"/>
      <c r="E30" s="649"/>
      <c r="F30" s="649"/>
      <c r="G30" s="649"/>
      <c r="H30" s="649"/>
    </row>
    <row r="31" spans="1:8" x14ac:dyDescent="0.2">
      <c r="A31" s="649" t="s">
        <v>89</v>
      </c>
      <c r="B31" s="649"/>
      <c r="C31" s="649"/>
      <c r="D31" s="649"/>
      <c r="E31" s="649"/>
      <c r="F31" s="649"/>
      <c r="G31" s="649"/>
      <c r="H31" s="649"/>
    </row>
    <row r="32" spans="1:8" x14ac:dyDescent="0.2">
      <c r="A32" s="649"/>
      <c r="B32" s="649"/>
      <c r="C32" s="649"/>
      <c r="D32" s="649"/>
      <c r="E32" s="649"/>
      <c r="F32" s="649"/>
      <c r="G32" s="649"/>
      <c r="H32" s="649"/>
    </row>
    <row r="33" spans="1:8" x14ac:dyDescent="0.2">
      <c r="A33" s="650" t="s">
        <v>90</v>
      </c>
      <c r="B33" s="649"/>
      <c r="C33" s="649"/>
      <c r="D33" s="649"/>
      <c r="E33" s="649"/>
      <c r="F33" s="649"/>
      <c r="G33" s="649"/>
      <c r="H33" s="649"/>
    </row>
    <row r="34" spans="1:8" x14ac:dyDescent="0.2">
      <c r="A34" s="649" t="s">
        <v>91</v>
      </c>
      <c r="B34" s="649"/>
      <c r="C34" s="649"/>
      <c r="D34" s="649"/>
      <c r="E34" s="649"/>
      <c r="F34" s="649"/>
      <c r="G34" s="649"/>
      <c r="H34" s="649"/>
    </row>
    <row r="35" spans="1:8" x14ac:dyDescent="0.2">
      <c r="A35" s="72"/>
      <c r="B35" s="72"/>
      <c r="C35" s="72"/>
      <c r="D35" s="72"/>
      <c r="E35" s="72"/>
      <c r="F35" s="72"/>
      <c r="G35" s="72"/>
      <c r="H35" s="72"/>
    </row>
    <row r="36" spans="1:8" x14ac:dyDescent="0.2">
      <c r="A36" s="648" t="s">
        <v>92</v>
      </c>
      <c r="B36" s="649"/>
      <c r="C36" s="649"/>
      <c r="D36" s="649"/>
      <c r="E36" s="649"/>
      <c r="F36" s="649"/>
      <c r="G36" s="649"/>
      <c r="H36" s="649"/>
    </row>
    <row r="37" spans="1:8" x14ac:dyDescent="0.2">
      <c r="A37" s="541"/>
      <c r="B37" s="541"/>
      <c r="C37" s="541"/>
      <c r="D37" s="541"/>
      <c r="E37" s="541"/>
      <c r="F37" s="541"/>
      <c r="G37" s="541"/>
      <c r="H37" s="541"/>
    </row>
  </sheetData>
  <mergeCells count="79">
    <mergeCell ref="C12:D12"/>
    <mergeCell ref="H1:I1"/>
    <mergeCell ref="D2:E2"/>
    <mergeCell ref="H2:I2"/>
    <mergeCell ref="E7:F7"/>
    <mergeCell ref="E8:F8"/>
    <mergeCell ref="A5:H5"/>
    <mergeCell ref="A8:B8"/>
    <mergeCell ref="A7:B7"/>
    <mergeCell ref="C7:D7"/>
    <mergeCell ref="C8:D8"/>
    <mergeCell ref="G7:H7"/>
    <mergeCell ref="G8:H8"/>
    <mergeCell ref="G12:H12"/>
    <mergeCell ref="C22:D22"/>
    <mergeCell ref="A17:H17"/>
    <mergeCell ref="A19:H19"/>
    <mergeCell ref="B2:C2"/>
    <mergeCell ref="A14:B14"/>
    <mergeCell ref="C9:D9"/>
    <mergeCell ref="C10:D10"/>
    <mergeCell ref="E11:F11"/>
    <mergeCell ref="E12:F12"/>
    <mergeCell ref="A9:B9"/>
    <mergeCell ref="A13:B13"/>
    <mergeCell ref="A10:B10"/>
    <mergeCell ref="A11:B11"/>
    <mergeCell ref="A12:B12"/>
    <mergeCell ref="C14:D14"/>
    <mergeCell ref="C11:D11"/>
    <mergeCell ref="C13:D13"/>
    <mergeCell ref="G27:H27"/>
    <mergeCell ref="A27:B27"/>
    <mergeCell ref="E27:F27"/>
    <mergeCell ref="A24:B24"/>
    <mergeCell ref="G25:H25"/>
    <mergeCell ref="C24:D24"/>
    <mergeCell ref="G26:H26"/>
    <mergeCell ref="A25:B25"/>
    <mergeCell ref="C26:D26"/>
    <mergeCell ref="A26:B26"/>
    <mergeCell ref="C27:D27"/>
    <mergeCell ref="E26:F26"/>
    <mergeCell ref="G23:H23"/>
    <mergeCell ref="C23:D23"/>
    <mergeCell ref="E24:F24"/>
    <mergeCell ref="G13:H13"/>
    <mergeCell ref="G14:H14"/>
    <mergeCell ref="E9:F9"/>
    <mergeCell ref="E13:F13"/>
    <mergeCell ref="E10:F10"/>
    <mergeCell ref="G9:H9"/>
    <mergeCell ref="G10:H10"/>
    <mergeCell ref="G11:H11"/>
    <mergeCell ref="E14:F14"/>
    <mergeCell ref="A36:H36"/>
    <mergeCell ref="A37:H37"/>
    <mergeCell ref="A34:H34"/>
    <mergeCell ref="A29:H29"/>
    <mergeCell ref="A30:H30"/>
    <mergeCell ref="A33:H33"/>
    <mergeCell ref="A31:H31"/>
    <mergeCell ref="A32:H32"/>
    <mergeCell ref="G24:H24"/>
    <mergeCell ref="E25:F25"/>
    <mergeCell ref="C25:D25"/>
    <mergeCell ref="A20:B20"/>
    <mergeCell ref="G20:H20"/>
    <mergeCell ref="E20:F20"/>
    <mergeCell ref="C20:D20"/>
    <mergeCell ref="A23:B23"/>
    <mergeCell ref="E23:F23"/>
    <mergeCell ref="G21:H21"/>
    <mergeCell ref="A22:B22"/>
    <mergeCell ref="E22:F22"/>
    <mergeCell ref="G22:H22"/>
    <mergeCell ref="A21:B21"/>
    <mergeCell ref="E21:F21"/>
    <mergeCell ref="C21:D21"/>
  </mergeCells>
  <phoneticPr fontId="0" type="noConversion"/>
  <dataValidations count="3">
    <dataValidation type="list" allowBlank="1" showInputMessage="1" showErrorMessage="1" sqref="G21:H21" xr:uid="{00000000-0002-0000-0400-000000000000}">
      <formula1>"YES,NO"</formula1>
    </dataValidation>
    <dataValidation type="list" allowBlank="1" showInputMessage="1" showErrorMessage="1" sqref="G22:H27" xr:uid="{00000000-0002-0000-0400-000001000000}">
      <formula1>"Yes,No"</formula1>
    </dataValidation>
    <dataValidation type="list" allowBlank="1" showInputMessage="1" showErrorMessage="1" sqref="C21:F27" xr:uid="{00000000-0002-0000-0400-000002000000}">
      <formula1>"',YES,NO"</formula1>
    </dataValidation>
  </dataValidations>
  <pageMargins left="0.75" right="0.75" top="1" bottom="1" header="0.5" footer="0.5"/>
  <pageSetup paperSize="9" scale="96" orientation="portrait" r:id="rId1"/>
  <headerFooter alignWithMargins="0">
    <oddFooter xml:space="preserve">&amp;L&amp;A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T56"/>
  <sheetViews>
    <sheetView showGridLines="0" topLeftCell="A43" zoomScaleNormal="100" zoomScaleSheetLayoutView="100" workbookViewId="0">
      <selection activeCell="F60" sqref="F59:F60"/>
    </sheetView>
  </sheetViews>
  <sheetFormatPr defaultRowHeight="12.75" x14ac:dyDescent="0.2"/>
  <cols>
    <col min="1" max="1" width="9.28515625" customWidth="1"/>
    <col min="2" max="10" width="10.85546875" customWidth="1"/>
    <col min="11" max="11" width="10.7109375" customWidth="1"/>
    <col min="12" max="13" width="13.42578125" bestFit="1" customWidth="1"/>
    <col min="16" max="16" width="11.85546875" customWidth="1"/>
    <col min="17" max="17" width="13.42578125" bestFit="1" customWidth="1"/>
  </cols>
  <sheetData>
    <row r="1" spans="1:17" ht="15" customHeight="1" x14ac:dyDescent="0.25">
      <c r="A1" s="509" t="s">
        <v>2</v>
      </c>
      <c r="B1" s="510"/>
      <c r="C1" s="244"/>
      <c r="D1" s="244"/>
      <c r="E1" s="388" t="str">
        <f>'1 - Cover'!C4</f>
        <v>Naylor / Galloway</v>
      </c>
      <c r="F1" s="388"/>
      <c r="G1" s="388"/>
      <c r="H1" s="388"/>
      <c r="I1" s="242" t="s">
        <v>4</v>
      </c>
      <c r="J1" s="511">
        <f>'1 - Cover'!H4</f>
        <v>36</v>
      </c>
      <c r="K1" s="511"/>
      <c r="L1" s="512"/>
    </row>
    <row r="2" spans="1:17" ht="15" customHeight="1" thickBot="1" x14ac:dyDescent="0.3">
      <c r="A2" s="625" t="s">
        <v>5</v>
      </c>
      <c r="B2" s="626"/>
      <c r="C2" s="235"/>
      <c r="D2" s="235"/>
      <c r="E2" s="534">
        <f>'1 - Cover'!B5</f>
        <v>43546</v>
      </c>
      <c r="F2" s="534"/>
      <c r="G2" s="236" t="s">
        <v>6</v>
      </c>
      <c r="H2" s="393" t="str">
        <f>'1 - Cover'!E5</f>
        <v>3d</v>
      </c>
      <c r="I2" s="243" t="s">
        <v>41</v>
      </c>
      <c r="J2" s="666" t="str">
        <f>'1 - Cover'!H5</f>
        <v>R Thomson</v>
      </c>
      <c r="K2" s="666"/>
      <c r="L2" s="669"/>
    </row>
    <row r="3" spans="1:17" ht="6.75" customHeight="1" x14ac:dyDescent="0.2"/>
    <row r="4" spans="1:17" ht="18" x14ac:dyDescent="0.25">
      <c r="A4" s="500" t="s">
        <v>93</v>
      </c>
      <c r="B4" s="500"/>
      <c r="C4" s="500"/>
      <c r="D4" s="500"/>
      <c r="E4" s="500"/>
      <c r="F4" s="500"/>
      <c r="G4" s="500"/>
      <c r="H4" s="500"/>
      <c r="I4" s="500"/>
      <c r="J4" s="500"/>
      <c r="K4" s="500"/>
      <c r="L4" s="500"/>
    </row>
    <row r="5" spans="1:17" ht="4.5" customHeight="1" thickBot="1" x14ac:dyDescent="0.3">
      <c r="A5" s="624"/>
      <c r="B5" s="624"/>
      <c r="C5" s="624"/>
      <c r="D5" s="624"/>
      <c r="E5" s="624"/>
      <c r="F5" s="624"/>
      <c r="G5" s="624"/>
      <c r="H5" s="624"/>
      <c r="I5" s="624"/>
      <c r="J5" s="624"/>
      <c r="K5" s="624"/>
      <c r="L5" s="624"/>
    </row>
    <row r="6" spans="1:17" ht="19.5" thickTop="1" thickBot="1" x14ac:dyDescent="0.3">
      <c r="A6" s="14"/>
      <c r="B6" s="14"/>
      <c r="C6" s="14"/>
      <c r="D6" s="14"/>
      <c r="E6" s="691" t="s">
        <v>94</v>
      </c>
      <c r="F6" s="692"/>
      <c r="G6" s="689">
        <v>24</v>
      </c>
      <c r="H6" s="690"/>
      <c r="I6" s="14"/>
      <c r="J6" s="14"/>
      <c r="K6" s="14"/>
      <c r="M6" s="6"/>
    </row>
    <row r="7" spans="1:17" ht="18" customHeight="1" thickTop="1" thickBot="1" x14ac:dyDescent="0.25">
      <c r="A7" s="37"/>
      <c r="B7" s="37"/>
      <c r="C7" s="37"/>
      <c r="D7" s="37"/>
      <c r="E7" s="14"/>
      <c r="F7" s="14"/>
      <c r="G7" s="14"/>
      <c r="H7" s="14"/>
      <c r="I7" s="14"/>
      <c r="J7" s="14"/>
      <c r="K7" s="14"/>
      <c r="M7" s="6"/>
    </row>
    <row r="8" spans="1:17" ht="18" customHeight="1" thickTop="1" x14ac:dyDescent="0.25">
      <c r="A8" s="14"/>
      <c r="B8" s="14"/>
      <c r="C8" s="14"/>
      <c r="D8" s="694" t="s">
        <v>95</v>
      </c>
      <c r="E8" s="695"/>
      <c r="F8" s="695"/>
      <c r="G8" s="695"/>
      <c r="H8" s="695"/>
      <c r="I8" s="696"/>
      <c r="J8" s="14"/>
      <c r="K8" s="14"/>
    </row>
    <row r="9" spans="1:17" ht="18" customHeight="1" thickBot="1" x14ac:dyDescent="0.3">
      <c r="A9" s="14"/>
      <c r="B9" s="14"/>
      <c r="C9" s="14"/>
      <c r="D9" s="53" t="s">
        <v>96</v>
      </c>
      <c r="E9" s="697" t="s">
        <v>97</v>
      </c>
      <c r="F9" s="698"/>
      <c r="G9" s="54" t="s">
        <v>96</v>
      </c>
      <c r="H9" s="697" t="s">
        <v>97</v>
      </c>
      <c r="I9" s="684"/>
      <c r="J9" s="14"/>
      <c r="K9" s="14"/>
    </row>
    <row r="10" spans="1:17" ht="18" customHeight="1" thickTop="1" x14ac:dyDescent="0.25">
      <c r="A10" s="14"/>
      <c r="B10" s="14"/>
      <c r="C10" s="14"/>
      <c r="D10" s="52"/>
      <c r="E10" s="699"/>
      <c r="F10" s="700"/>
      <c r="G10" s="55"/>
      <c r="H10" s="699"/>
      <c r="I10" s="696"/>
      <c r="J10" s="14"/>
      <c r="K10" s="14"/>
      <c r="M10" s="6"/>
    </row>
    <row r="11" spans="1:17" ht="18" customHeight="1" x14ac:dyDescent="0.25">
      <c r="A11" s="14"/>
      <c r="B11" s="14"/>
      <c r="C11" s="14"/>
      <c r="D11" s="56"/>
      <c r="E11" s="686"/>
      <c r="F11" s="687"/>
      <c r="G11" s="57"/>
      <c r="H11" s="686"/>
      <c r="I11" s="693"/>
      <c r="J11" s="14"/>
      <c r="K11" s="14"/>
      <c r="M11" s="6"/>
    </row>
    <row r="12" spans="1:17" ht="18" customHeight="1" thickBot="1" x14ac:dyDescent="0.35">
      <c r="A12" s="14"/>
      <c r="B12" s="14"/>
      <c r="C12" s="14"/>
      <c r="D12" s="58"/>
      <c r="E12" s="683"/>
      <c r="F12" s="688"/>
      <c r="G12" s="59"/>
      <c r="H12" s="683"/>
      <c r="I12" s="684"/>
      <c r="J12" s="14"/>
      <c r="K12" s="14"/>
      <c r="M12" s="6"/>
      <c r="P12" s="78"/>
    </row>
    <row r="13" spans="1:17" ht="13.5" customHeight="1" thickTop="1" thickBot="1" x14ac:dyDescent="0.25">
      <c r="A13" s="14"/>
      <c r="B13" s="14"/>
      <c r="C13" s="14"/>
      <c r="D13" s="42"/>
      <c r="E13" s="685"/>
      <c r="F13" s="685"/>
      <c r="G13" s="42"/>
      <c r="H13" s="685"/>
      <c r="I13" s="685"/>
      <c r="J13" s="14"/>
      <c r="K13" s="14"/>
    </row>
    <row r="14" spans="1:17" ht="22.5" customHeight="1" thickTop="1" x14ac:dyDescent="0.25">
      <c r="A14" s="14"/>
      <c r="B14" s="718" t="s">
        <v>98</v>
      </c>
      <c r="C14" s="719"/>
      <c r="D14" s="719"/>
      <c r="E14" s="719"/>
      <c r="F14" s="719"/>
      <c r="G14" s="719"/>
      <c r="H14" s="720"/>
      <c r="J14" s="718" t="s">
        <v>99</v>
      </c>
      <c r="K14" s="719"/>
      <c r="L14" s="720"/>
      <c r="O14" s="500"/>
      <c r="P14" s="500"/>
      <c r="Q14" s="500"/>
    </row>
    <row r="15" spans="1:17" ht="22.5" customHeight="1" thickBot="1" x14ac:dyDescent="0.3">
      <c r="A15" s="37"/>
      <c r="B15" s="51" t="s">
        <v>82</v>
      </c>
      <c r="C15" s="721" t="s">
        <v>100</v>
      </c>
      <c r="D15" s="722"/>
      <c r="E15" s="721" t="s">
        <v>101</v>
      </c>
      <c r="F15" s="738"/>
      <c r="G15" s="721" t="s">
        <v>102</v>
      </c>
      <c r="H15" s="739"/>
      <c r="J15" s="396" t="s">
        <v>103</v>
      </c>
      <c r="K15" s="397" t="s">
        <v>104</v>
      </c>
      <c r="L15" s="398" t="s">
        <v>105</v>
      </c>
      <c r="O15" s="175"/>
      <c r="P15" s="175"/>
      <c r="Q15" s="175"/>
    </row>
    <row r="16" spans="1:17" ht="21" customHeight="1" thickTop="1" x14ac:dyDescent="0.25">
      <c r="A16" s="14"/>
      <c r="B16" s="357" t="str">
        <f>'4 - Phase Control'!A8</f>
        <v>A</v>
      </c>
      <c r="C16" s="723" t="s">
        <v>106</v>
      </c>
      <c r="D16" s="724"/>
      <c r="E16" s="723" t="s">
        <v>107</v>
      </c>
      <c r="F16" s="724"/>
      <c r="G16" s="723"/>
      <c r="H16" s="729"/>
      <c r="J16" s="399" t="s">
        <v>108</v>
      </c>
      <c r="K16" s="400" t="s">
        <v>109</v>
      </c>
      <c r="L16" s="401" t="s">
        <v>110</v>
      </c>
      <c r="O16" s="175"/>
      <c r="P16" s="175"/>
      <c r="Q16" s="175"/>
    </row>
    <row r="17" spans="1:20" ht="21" customHeight="1" x14ac:dyDescent="0.25">
      <c r="A17" s="14"/>
      <c r="B17" s="358" t="str">
        <f>'4 - Phase Control'!A9</f>
        <v>B</v>
      </c>
      <c r="C17" s="725"/>
      <c r="D17" s="726"/>
      <c r="E17" s="725">
        <v>8</v>
      </c>
      <c r="F17" s="726"/>
      <c r="G17" s="730">
        <v>8</v>
      </c>
      <c r="H17" s="731"/>
      <c r="J17" s="402">
        <v>2</v>
      </c>
      <c r="K17" s="349">
        <v>17</v>
      </c>
      <c r="L17" s="213">
        <v>3</v>
      </c>
      <c r="N17" s="65"/>
      <c r="O17" s="383"/>
      <c r="P17" s="383"/>
      <c r="Q17" s="383"/>
      <c r="T17" s="65"/>
    </row>
    <row r="18" spans="1:20" ht="21" customHeight="1" x14ac:dyDescent="0.25">
      <c r="A18" s="14"/>
      <c r="B18" s="358" t="str">
        <f>'4 - Phase Control'!A10</f>
        <v>C</v>
      </c>
      <c r="C18" s="725" t="s">
        <v>111</v>
      </c>
      <c r="D18" s="726"/>
      <c r="E18" s="725" t="s">
        <v>112</v>
      </c>
      <c r="F18" s="726"/>
      <c r="G18" s="730"/>
      <c r="H18" s="731"/>
      <c r="J18" s="402">
        <v>5</v>
      </c>
      <c r="K18" s="349">
        <v>18</v>
      </c>
      <c r="L18" s="213">
        <v>5</v>
      </c>
      <c r="N18" s="65"/>
      <c r="O18" s="383"/>
      <c r="P18" s="383"/>
      <c r="Q18" s="383"/>
      <c r="T18" s="65"/>
    </row>
    <row r="19" spans="1:20" ht="36" customHeight="1" x14ac:dyDescent="0.25">
      <c r="A19" s="14"/>
      <c r="B19" s="358" t="str">
        <f>'4 - Phase Control'!A11</f>
        <v>D</v>
      </c>
      <c r="C19" s="725"/>
      <c r="D19" s="726"/>
      <c r="E19" s="725">
        <v>6</v>
      </c>
      <c r="F19" s="726"/>
      <c r="G19" s="730">
        <v>6</v>
      </c>
      <c r="H19" s="731"/>
      <c r="J19" s="402"/>
      <c r="K19" s="349"/>
      <c r="L19" s="213"/>
      <c r="O19" s="383"/>
      <c r="P19" s="383"/>
      <c r="Q19" s="383"/>
    </row>
    <row r="20" spans="1:20" ht="21" customHeight="1" x14ac:dyDescent="0.25">
      <c r="A20" s="14"/>
      <c r="B20" s="358" t="str">
        <f>'4 - Phase Control'!A12</f>
        <v>E</v>
      </c>
      <c r="C20" s="725"/>
      <c r="D20" s="726"/>
      <c r="E20" s="725"/>
      <c r="F20" s="726"/>
      <c r="G20" s="730"/>
      <c r="H20" s="731"/>
      <c r="J20" s="402"/>
      <c r="K20" s="349"/>
      <c r="L20" s="213"/>
      <c r="O20" s="383"/>
      <c r="P20" s="383"/>
      <c r="Q20" s="383"/>
    </row>
    <row r="21" spans="1:20" ht="21" customHeight="1" x14ac:dyDescent="0.25">
      <c r="A21" s="14"/>
      <c r="B21" s="358" t="str">
        <f>'4 - Phase Control'!A13</f>
        <v>F</v>
      </c>
      <c r="C21" s="725"/>
      <c r="D21" s="726"/>
      <c r="E21" s="725"/>
      <c r="F21" s="726"/>
      <c r="G21" s="730"/>
      <c r="H21" s="731"/>
      <c r="J21" s="402"/>
      <c r="K21" s="349"/>
      <c r="L21" s="213"/>
      <c r="O21" s="383"/>
      <c r="P21" s="383"/>
      <c r="Q21" s="383"/>
    </row>
    <row r="22" spans="1:20" ht="21" customHeight="1" thickBot="1" x14ac:dyDescent="0.3">
      <c r="A22" s="14"/>
      <c r="B22" s="359" t="str">
        <f>'4 - Phase Control'!A14</f>
        <v>G</v>
      </c>
      <c r="C22" s="727"/>
      <c r="D22" s="728"/>
      <c r="E22" s="727"/>
      <c r="F22" s="728"/>
      <c r="G22" s="740"/>
      <c r="H22" s="741"/>
      <c r="J22" s="402"/>
      <c r="K22" s="349" t="str">
        <f>IF(J22="","",(K21+1))</f>
        <v/>
      </c>
      <c r="L22" s="213"/>
      <c r="O22" s="383"/>
      <c r="P22" s="383"/>
      <c r="Q22" s="383"/>
    </row>
    <row r="23" spans="1:20" ht="6" customHeight="1" thickTop="1" thickBot="1" x14ac:dyDescent="0.3">
      <c r="A23" s="14"/>
      <c r="B23" s="66"/>
      <c r="C23" s="67"/>
      <c r="D23" s="68"/>
      <c r="E23" s="69"/>
      <c r="F23" s="67"/>
      <c r="G23" s="70"/>
      <c r="H23" s="71"/>
      <c r="I23" s="73"/>
      <c r="J23" s="74"/>
      <c r="K23" s="75"/>
      <c r="L23" s="76"/>
      <c r="O23" s="79"/>
      <c r="P23" s="79"/>
      <c r="Q23" s="79"/>
    </row>
    <row r="24" spans="1:20" ht="19.5" customHeight="1" thickTop="1" thickBot="1" x14ac:dyDescent="0.3">
      <c r="A24" s="14"/>
      <c r="B24" s="732" t="s">
        <v>113</v>
      </c>
      <c r="C24" s="733"/>
      <c r="D24" s="734"/>
      <c r="E24" s="735"/>
      <c r="F24" s="733"/>
      <c r="G24" s="733"/>
      <c r="H24" s="736"/>
      <c r="J24" s="14"/>
      <c r="L24" s="6"/>
    </row>
    <row r="25" spans="1:20" ht="13.5" thickTop="1" x14ac:dyDescent="0.2">
      <c r="A25" s="40"/>
      <c r="B25" s="17"/>
      <c r="C25" s="17"/>
      <c r="D25" s="17"/>
      <c r="E25" s="17"/>
      <c r="F25" s="41"/>
      <c r="G25" s="41"/>
      <c r="H25" s="41"/>
      <c r="I25" s="41"/>
      <c r="J25" s="737"/>
      <c r="K25" s="737"/>
      <c r="L25" s="737"/>
    </row>
    <row r="26" spans="1:20" ht="18" x14ac:dyDescent="0.25">
      <c r="B26" s="500" t="s">
        <v>114</v>
      </c>
      <c r="C26" s="541"/>
      <c r="D26" s="541"/>
      <c r="E26" s="541"/>
      <c r="F26" s="541"/>
      <c r="G26" s="541"/>
      <c r="H26" s="541"/>
      <c r="I26" s="541"/>
      <c r="J26" s="541"/>
    </row>
    <row r="27" spans="1:20" ht="6.75" customHeight="1" thickBot="1" x14ac:dyDescent="0.3">
      <c r="B27" s="49"/>
      <c r="C27" s="50"/>
      <c r="D27" s="50"/>
      <c r="E27" s="50"/>
      <c r="F27" s="50"/>
      <c r="G27" s="50"/>
      <c r="H27" s="50"/>
      <c r="I27" s="50"/>
      <c r="J27" s="50"/>
    </row>
    <row r="28" spans="1:20" ht="21" customHeight="1" thickTop="1" x14ac:dyDescent="0.2">
      <c r="B28" s="109" t="s">
        <v>115</v>
      </c>
      <c r="C28" s="180">
        <v>1</v>
      </c>
      <c r="D28" s="181">
        <v>2</v>
      </c>
      <c r="E28" s="181">
        <v>3</v>
      </c>
      <c r="F28" s="181">
        <v>4</v>
      </c>
      <c r="G28" s="181">
        <v>5</v>
      </c>
      <c r="H28" s="181">
        <v>6</v>
      </c>
      <c r="I28" s="181">
        <v>7</v>
      </c>
      <c r="J28" s="314">
        <v>8</v>
      </c>
      <c r="K28" s="714" t="s">
        <v>116</v>
      </c>
      <c r="L28" s="716">
        <v>12</v>
      </c>
    </row>
    <row r="29" spans="1:20" ht="21" customHeight="1" thickBot="1" x14ac:dyDescent="0.25">
      <c r="B29" s="110" t="s">
        <v>117</v>
      </c>
      <c r="C29" s="111">
        <v>0</v>
      </c>
      <c r="D29" s="112">
        <v>0</v>
      </c>
      <c r="E29" s="112">
        <f>IF($L$28&gt;2,0,1)</f>
        <v>0</v>
      </c>
      <c r="F29" s="112">
        <f>IF($L$28&gt;3,0,1)</f>
        <v>0</v>
      </c>
      <c r="G29" s="112">
        <f>IF($L$28&gt;4,0,1)</f>
        <v>0</v>
      </c>
      <c r="H29" s="112">
        <f>IF($L$28&gt;5,0,1)</f>
        <v>0</v>
      </c>
      <c r="I29" s="112">
        <f>IF($L$28&gt;6,0,1)</f>
        <v>0</v>
      </c>
      <c r="J29" s="112">
        <f>IF($L$28&gt;7,0,1)</f>
        <v>0</v>
      </c>
      <c r="K29" s="715"/>
      <c r="L29" s="717"/>
      <c r="P29" t="s">
        <v>118</v>
      </c>
    </row>
    <row r="30" spans="1:20" ht="21" customHeight="1" x14ac:dyDescent="0.2">
      <c r="B30" s="110"/>
      <c r="C30" s="113"/>
      <c r="D30" s="114"/>
      <c r="E30" s="114"/>
      <c r="F30" s="114"/>
      <c r="G30" s="114"/>
      <c r="H30" s="114"/>
      <c r="I30" s="114"/>
      <c r="J30" s="115"/>
      <c r="L30" s="313"/>
    </row>
    <row r="31" spans="1:20" ht="21" customHeight="1" x14ac:dyDescent="0.2">
      <c r="B31" s="110" t="s">
        <v>115</v>
      </c>
      <c r="C31" s="182">
        <v>9</v>
      </c>
      <c r="D31" s="183">
        <v>10</v>
      </c>
      <c r="E31" s="183">
        <v>11</v>
      </c>
      <c r="F31" s="183">
        <v>12</v>
      </c>
      <c r="G31" s="183">
        <v>13</v>
      </c>
      <c r="H31" s="183">
        <v>14</v>
      </c>
      <c r="I31" s="183">
        <v>15</v>
      </c>
      <c r="J31" s="184">
        <v>16</v>
      </c>
    </row>
    <row r="32" spans="1:20" ht="21" customHeight="1" x14ac:dyDescent="0.2">
      <c r="B32" s="110" t="s">
        <v>117</v>
      </c>
      <c r="C32" s="112">
        <v>1</v>
      </c>
      <c r="D32" s="112">
        <v>1</v>
      </c>
      <c r="E32" s="112">
        <v>1</v>
      </c>
      <c r="F32" s="112">
        <v>1</v>
      </c>
      <c r="G32" s="112">
        <f>IF($L$28&gt;12,0,1)</f>
        <v>1</v>
      </c>
      <c r="H32" s="112">
        <f>IF($L$28&gt;13,0,1)</f>
        <v>1</v>
      </c>
      <c r="I32" s="112">
        <f>IF($L$28&gt;14,0,1)</f>
        <v>1</v>
      </c>
      <c r="J32" s="112">
        <f>IF($L$28&gt;15,0,1)</f>
        <v>1</v>
      </c>
    </row>
    <row r="33" spans="1:12" ht="21" customHeight="1" x14ac:dyDescent="0.2">
      <c r="B33" s="110"/>
      <c r="C33" s="116"/>
      <c r="D33" s="117"/>
      <c r="E33" s="117"/>
      <c r="F33" s="117"/>
      <c r="G33" s="117"/>
      <c r="H33" s="117"/>
      <c r="I33" s="117"/>
      <c r="J33" s="118"/>
    </row>
    <row r="34" spans="1:12" ht="21" customHeight="1" x14ac:dyDescent="0.2">
      <c r="B34" s="110" t="s">
        <v>115</v>
      </c>
      <c r="C34" s="182">
        <v>17</v>
      </c>
      <c r="D34" s="183">
        <v>18</v>
      </c>
      <c r="E34" s="183">
        <v>19</v>
      </c>
      <c r="F34" s="183">
        <v>20</v>
      </c>
      <c r="G34" s="183">
        <v>21</v>
      </c>
      <c r="H34" s="183">
        <v>22</v>
      </c>
      <c r="I34" s="183">
        <v>23</v>
      </c>
      <c r="J34" s="184">
        <v>24</v>
      </c>
    </row>
    <row r="35" spans="1:12" ht="21" customHeight="1" x14ac:dyDescent="0.2">
      <c r="B35" s="110" t="s">
        <v>117</v>
      </c>
      <c r="C35" s="112">
        <f>IF($L$28&gt;16,0,1)</f>
        <v>1</v>
      </c>
      <c r="D35" s="112">
        <f>IF($L$28&gt;17,0,1)</f>
        <v>1</v>
      </c>
      <c r="E35" s="112">
        <f>IF($L$28&gt;18,0,1)</f>
        <v>1</v>
      </c>
      <c r="F35" s="112">
        <f>IF($L$28&gt;19,0,1)</f>
        <v>1</v>
      </c>
      <c r="G35" s="112">
        <f>IF($L$28&gt;20,0,1)</f>
        <v>1</v>
      </c>
      <c r="H35" s="112">
        <f>IF($L$28&gt;21,0,1)</f>
        <v>1</v>
      </c>
      <c r="I35" s="112">
        <f>IF($L$28&gt;22,0,1)</f>
        <v>1</v>
      </c>
      <c r="J35" s="112">
        <f>IF($L$28&gt;23,0,1)</f>
        <v>1</v>
      </c>
    </row>
    <row r="36" spans="1:12" ht="21" customHeight="1" thickBot="1" x14ac:dyDescent="0.25">
      <c r="B36" s="185"/>
      <c r="C36" s="116"/>
      <c r="D36" s="117"/>
      <c r="E36" s="117"/>
      <c r="F36" s="117"/>
      <c r="G36" s="117"/>
      <c r="H36" s="117"/>
      <c r="I36" s="117"/>
      <c r="J36" s="118"/>
    </row>
    <row r="37" spans="1:12" ht="21" customHeight="1" x14ac:dyDescent="0.2">
      <c r="A37" s="712" t="s">
        <v>119</v>
      </c>
      <c r="B37" s="713"/>
      <c r="C37" s="182">
        <v>1</v>
      </c>
      <c r="D37" s="183">
        <v>2</v>
      </c>
      <c r="E37" s="183">
        <v>3</v>
      </c>
      <c r="F37" s="183">
        <v>4</v>
      </c>
      <c r="G37" s="183">
        <v>5</v>
      </c>
      <c r="H37" s="183">
        <v>6</v>
      </c>
      <c r="I37" s="183">
        <v>7</v>
      </c>
      <c r="J37" s="184">
        <v>8</v>
      </c>
      <c r="K37" s="714" t="s">
        <v>120</v>
      </c>
      <c r="L37" s="716">
        <v>4</v>
      </c>
    </row>
    <row r="38" spans="1:12" ht="21" customHeight="1" thickBot="1" x14ac:dyDescent="0.25">
      <c r="B38" s="186" t="s">
        <v>117</v>
      </c>
      <c r="C38" s="119">
        <f>IF($L$37&lt;1,1,11)</f>
        <v>11</v>
      </c>
      <c r="D38" s="119">
        <f>IF($L$37&lt;2,1,11)</f>
        <v>11</v>
      </c>
      <c r="E38" s="119">
        <f>IF($L$37&lt;3,1,11)</f>
        <v>11</v>
      </c>
      <c r="F38" s="119">
        <f>IF($L$37&lt;4,1,11)</f>
        <v>11</v>
      </c>
      <c r="G38" s="119">
        <f>IF($L$37&lt;5,1,11)</f>
        <v>1</v>
      </c>
      <c r="H38" s="119">
        <f>IF($L$37&lt;6,1,11)</f>
        <v>1</v>
      </c>
      <c r="I38" s="119">
        <f>IF($L$37&lt;7,1,11)</f>
        <v>1</v>
      </c>
      <c r="J38" s="119">
        <f>IF($L$37&lt;8,1,11)</f>
        <v>1</v>
      </c>
      <c r="K38" s="715"/>
      <c r="L38" s="717"/>
    </row>
    <row r="39" spans="1:12" ht="13.5" thickTop="1" x14ac:dyDescent="0.2"/>
    <row r="40" spans="1:12" ht="21" customHeight="1" thickBot="1" x14ac:dyDescent="0.25">
      <c r="B40" s="704" t="s">
        <v>121</v>
      </c>
      <c r="C40" s="704"/>
      <c r="D40" s="704"/>
      <c r="E40" s="704"/>
      <c r="F40" s="704"/>
      <c r="G40" s="704"/>
      <c r="H40" s="504"/>
      <c r="I40" s="504"/>
      <c r="J40" s="504"/>
    </row>
    <row r="41" spans="1:12" s="107" customFormat="1" ht="24" customHeight="1" thickTop="1" x14ac:dyDescent="0.2">
      <c r="B41" s="701" t="s">
        <v>122</v>
      </c>
      <c r="C41" s="701"/>
      <c r="D41" s="701"/>
      <c r="E41" s="701"/>
      <c r="F41" s="701"/>
      <c r="G41" s="701"/>
      <c r="H41" s="705" t="s">
        <v>118</v>
      </c>
      <c r="I41" s="706"/>
      <c r="J41" s="706"/>
      <c r="K41" s="707"/>
    </row>
    <row r="42" spans="1:12" s="107" customFormat="1" ht="24" customHeight="1" thickBot="1" x14ac:dyDescent="0.25">
      <c r="B42" s="702" t="s">
        <v>123</v>
      </c>
      <c r="C42" s="702"/>
      <c r="D42" s="702"/>
      <c r="E42" s="702"/>
      <c r="F42" s="702"/>
      <c r="G42" s="702"/>
      <c r="H42" s="708"/>
      <c r="I42" s="709"/>
      <c r="J42" s="709"/>
      <c r="K42" s="710"/>
    </row>
    <row r="43" spans="1:12" s="107" customFormat="1" ht="24" customHeight="1" thickTop="1" x14ac:dyDescent="0.2">
      <c r="B43" s="703"/>
      <c r="C43" s="703"/>
      <c r="D43" s="703"/>
      <c r="E43" s="703"/>
      <c r="F43" s="703"/>
      <c r="G43" s="703"/>
      <c r="H43" s="711"/>
      <c r="I43" s="711"/>
      <c r="J43" s="711"/>
      <c r="K43" s="711"/>
    </row>
    <row r="45" spans="1:12" ht="18" x14ac:dyDescent="0.25">
      <c r="A45" s="500" t="s">
        <v>124</v>
      </c>
      <c r="B45" s="500"/>
      <c r="C45" s="500"/>
      <c r="D45" s="500"/>
      <c r="E45" s="500"/>
      <c r="F45" s="500"/>
      <c r="G45" s="500"/>
      <c r="H45" s="500"/>
      <c r="I45" s="500"/>
      <c r="J45" s="500"/>
      <c r="K45" s="500"/>
      <c r="L45" s="500"/>
    </row>
    <row r="46" spans="1:12" ht="4.5" customHeight="1" thickBot="1" x14ac:dyDescent="0.25">
      <c r="A46" s="10"/>
    </row>
    <row r="47" spans="1:12" ht="45.75" customHeight="1" thickTop="1" thickBot="1" x14ac:dyDescent="0.25">
      <c r="A47" s="104" t="s">
        <v>115</v>
      </c>
      <c r="B47" s="105" t="s">
        <v>125</v>
      </c>
      <c r="C47" s="105" t="s">
        <v>126</v>
      </c>
      <c r="D47" s="105" t="s">
        <v>115</v>
      </c>
      <c r="E47" s="105" t="s">
        <v>125</v>
      </c>
      <c r="F47" s="105" t="s">
        <v>126</v>
      </c>
      <c r="G47" s="105" t="s">
        <v>115</v>
      </c>
      <c r="H47" s="105" t="s">
        <v>125</v>
      </c>
      <c r="I47" s="105" t="s">
        <v>126</v>
      </c>
      <c r="J47" s="105" t="s">
        <v>115</v>
      </c>
      <c r="K47" s="105" t="s">
        <v>125</v>
      </c>
      <c r="L47" s="106" t="s">
        <v>126</v>
      </c>
    </row>
    <row r="48" spans="1:12" s="107" customFormat="1" ht="21" customHeight="1" thickTop="1" x14ac:dyDescent="0.2">
      <c r="A48" s="403">
        <v>1</v>
      </c>
      <c r="B48" s="347"/>
      <c r="C48" s="347"/>
      <c r="D48" s="404">
        <v>9</v>
      </c>
      <c r="E48" s="347"/>
      <c r="F48" s="347"/>
      <c r="G48" s="404">
        <v>17</v>
      </c>
      <c r="H48" s="347"/>
      <c r="I48" s="347"/>
      <c r="J48" s="404">
        <v>25</v>
      </c>
      <c r="K48" s="347"/>
      <c r="L48" s="405"/>
    </row>
    <row r="49" spans="1:12" s="107" customFormat="1" ht="21" customHeight="1" x14ac:dyDescent="0.2">
      <c r="A49" s="403">
        <v>2</v>
      </c>
      <c r="B49" s="108" t="s">
        <v>44</v>
      </c>
      <c r="C49" s="108">
        <v>2</v>
      </c>
      <c r="D49" s="404">
        <v>10</v>
      </c>
      <c r="E49" s="347"/>
      <c r="F49" s="347"/>
      <c r="G49" s="404">
        <v>18</v>
      </c>
      <c r="H49" s="347"/>
      <c r="I49" s="347"/>
      <c r="J49" s="404">
        <v>26</v>
      </c>
      <c r="K49" s="347"/>
      <c r="L49" s="405"/>
    </row>
    <row r="50" spans="1:12" s="107" customFormat="1" ht="21" customHeight="1" x14ac:dyDescent="0.2">
      <c r="A50" s="403">
        <v>3</v>
      </c>
      <c r="B50" s="108"/>
      <c r="C50" s="108"/>
      <c r="D50" s="404">
        <v>11</v>
      </c>
      <c r="E50" s="347"/>
      <c r="F50" s="347"/>
      <c r="G50" s="404">
        <v>19</v>
      </c>
      <c r="H50" s="347"/>
      <c r="I50" s="347"/>
      <c r="J50" s="404">
        <v>27</v>
      </c>
      <c r="K50" s="347"/>
      <c r="L50" s="405"/>
    </row>
    <row r="51" spans="1:12" s="107" customFormat="1" ht="21" customHeight="1" x14ac:dyDescent="0.2">
      <c r="A51" s="403">
        <v>4</v>
      </c>
      <c r="B51" s="108" t="s">
        <v>50</v>
      </c>
      <c r="C51" s="108">
        <v>2</v>
      </c>
      <c r="D51" s="404">
        <v>12</v>
      </c>
      <c r="E51" s="347"/>
      <c r="F51" s="347"/>
      <c r="G51" s="404">
        <v>20</v>
      </c>
      <c r="H51" s="347"/>
      <c r="I51" s="347"/>
      <c r="J51" s="404">
        <v>28</v>
      </c>
      <c r="K51" s="347"/>
      <c r="L51" s="405"/>
    </row>
    <row r="52" spans="1:12" s="107" customFormat="1" ht="21" customHeight="1" x14ac:dyDescent="0.2">
      <c r="A52" s="403">
        <v>5</v>
      </c>
      <c r="B52" s="347"/>
      <c r="C52" s="347"/>
      <c r="D52" s="404">
        <v>13</v>
      </c>
      <c r="E52" s="347"/>
      <c r="F52" s="347"/>
      <c r="G52" s="404">
        <v>21</v>
      </c>
      <c r="H52" s="347"/>
      <c r="I52" s="347"/>
      <c r="J52" s="404">
        <v>29</v>
      </c>
      <c r="K52" s="347"/>
      <c r="L52" s="405"/>
    </row>
    <row r="53" spans="1:12" s="107" customFormat="1" ht="21" customHeight="1" x14ac:dyDescent="0.2">
      <c r="A53" s="403">
        <v>6</v>
      </c>
      <c r="B53" s="108" t="s">
        <v>46</v>
      </c>
      <c r="C53" s="108">
        <v>2</v>
      </c>
      <c r="D53" s="404">
        <v>14</v>
      </c>
      <c r="E53" s="108"/>
      <c r="F53" s="108"/>
      <c r="G53" s="404">
        <v>22</v>
      </c>
      <c r="H53" s="347"/>
      <c r="I53" s="347"/>
      <c r="J53" s="404">
        <v>30</v>
      </c>
      <c r="K53" s="347"/>
      <c r="L53" s="405"/>
    </row>
    <row r="54" spans="1:12" s="107" customFormat="1" ht="21" customHeight="1" x14ac:dyDescent="0.2">
      <c r="A54" s="403">
        <v>7</v>
      </c>
      <c r="B54" s="347" t="s">
        <v>50</v>
      </c>
      <c r="C54" s="347">
        <v>2</v>
      </c>
      <c r="D54" s="404">
        <v>15</v>
      </c>
      <c r="E54" s="347"/>
      <c r="F54" s="347"/>
      <c r="G54" s="404">
        <v>23</v>
      </c>
      <c r="H54" s="347"/>
      <c r="I54" s="347"/>
      <c r="J54" s="404">
        <v>31</v>
      </c>
      <c r="K54" s="347"/>
      <c r="L54" s="405"/>
    </row>
    <row r="55" spans="1:12" s="107" customFormat="1" ht="21" customHeight="1" thickBot="1" x14ac:dyDescent="0.25">
      <c r="A55" s="406">
        <v>8</v>
      </c>
      <c r="B55" s="346" t="s">
        <v>45</v>
      </c>
      <c r="C55" s="346">
        <v>2</v>
      </c>
      <c r="D55" s="407">
        <v>16</v>
      </c>
      <c r="E55" s="346"/>
      <c r="F55" s="346"/>
      <c r="G55" s="407">
        <v>24</v>
      </c>
      <c r="H55" s="346"/>
      <c r="I55" s="346"/>
      <c r="J55" s="407">
        <v>32</v>
      </c>
      <c r="K55" s="346"/>
      <c r="L55" s="408"/>
    </row>
    <row r="56" spans="1:12" ht="13.5" thickTop="1" x14ac:dyDescent="0.2"/>
  </sheetData>
  <mergeCells count="64">
    <mergeCell ref="J14:L14"/>
    <mergeCell ref="O14:Q14"/>
    <mergeCell ref="J25:L25"/>
    <mergeCell ref="G18:H18"/>
    <mergeCell ref="C20:D20"/>
    <mergeCell ref="C21:D21"/>
    <mergeCell ref="G19:H19"/>
    <mergeCell ref="G20:H20"/>
    <mergeCell ref="G21:H21"/>
    <mergeCell ref="E21:F21"/>
    <mergeCell ref="E15:F15"/>
    <mergeCell ref="G15:H15"/>
    <mergeCell ref="G22:H22"/>
    <mergeCell ref="C22:D22"/>
    <mergeCell ref="E17:F17"/>
    <mergeCell ref="E18:F18"/>
    <mergeCell ref="E19:F19"/>
    <mergeCell ref="E22:F22"/>
    <mergeCell ref="G16:H16"/>
    <mergeCell ref="G17:H17"/>
    <mergeCell ref="B24:D24"/>
    <mergeCell ref="C19:D19"/>
    <mergeCell ref="E20:F20"/>
    <mergeCell ref="E24:H24"/>
    <mergeCell ref="B14:H14"/>
    <mergeCell ref="C15:D15"/>
    <mergeCell ref="C16:D16"/>
    <mergeCell ref="C17:D17"/>
    <mergeCell ref="C18:D18"/>
    <mergeCell ref="E16:F16"/>
    <mergeCell ref="A45:L45"/>
    <mergeCell ref="B26:J26"/>
    <mergeCell ref="B41:G41"/>
    <mergeCell ref="B42:G42"/>
    <mergeCell ref="B43:G43"/>
    <mergeCell ref="B40:J40"/>
    <mergeCell ref="H41:K41"/>
    <mergeCell ref="H42:K42"/>
    <mergeCell ref="H43:K43"/>
    <mergeCell ref="A37:B37"/>
    <mergeCell ref="K28:K29"/>
    <mergeCell ref="L28:L29"/>
    <mergeCell ref="K37:K38"/>
    <mergeCell ref="L37:L38"/>
    <mergeCell ref="H12:I12"/>
    <mergeCell ref="H13:I13"/>
    <mergeCell ref="E11:F11"/>
    <mergeCell ref="E12:F12"/>
    <mergeCell ref="A5:L5"/>
    <mergeCell ref="G6:H6"/>
    <mergeCell ref="E6:F6"/>
    <mergeCell ref="E13:F13"/>
    <mergeCell ref="H11:I11"/>
    <mergeCell ref="D8:I8"/>
    <mergeCell ref="E9:F9"/>
    <mergeCell ref="H9:I9"/>
    <mergeCell ref="E10:F10"/>
    <mergeCell ref="H10:I10"/>
    <mergeCell ref="A1:B1"/>
    <mergeCell ref="A2:B2"/>
    <mergeCell ref="A4:L4"/>
    <mergeCell ref="J1:L1"/>
    <mergeCell ref="J2:L2"/>
    <mergeCell ref="E2:F2"/>
  </mergeCells>
  <phoneticPr fontId="0" type="noConversion"/>
  <conditionalFormatting sqref="L28:L29">
    <cfRule type="cellIs" dxfId="210" priority="2" operator="equal">
      <formula>""</formula>
    </cfRule>
  </conditionalFormatting>
  <conditionalFormatting sqref="L37:L38">
    <cfRule type="cellIs" dxfId="209" priority="1" operator="equal">
      <formula>""</formula>
    </cfRule>
  </conditionalFormatting>
  <printOptions horizontalCentered="1"/>
  <pageMargins left="0.39370078740157483" right="0.39370078740157483" top="0.39370078740157483" bottom="0" header="0.39370078740157483" footer="0.39370078740157483"/>
  <pageSetup paperSize="9" scale="74" orientation="portrait" r:id="rId1"/>
  <headerFooter alignWithMargins="0">
    <oddFooter>&amp;L&amp;A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F54"/>
  <sheetViews>
    <sheetView zoomScaleNormal="100" workbookViewId="0">
      <selection sqref="A1:F2"/>
    </sheetView>
  </sheetViews>
  <sheetFormatPr defaultColWidth="0" defaultRowHeight="12.75" zeroHeight="1" x14ac:dyDescent="0.2"/>
  <cols>
    <col min="1" max="1" width="24.7109375" style="7" customWidth="1"/>
    <col min="2" max="2" width="24.5703125" style="7" customWidth="1"/>
    <col min="3" max="3" width="10.5703125" style="7" customWidth="1"/>
    <col min="4" max="4" width="14.28515625" style="7" customWidth="1"/>
    <col min="5" max="5" width="10.42578125" style="7" customWidth="1"/>
    <col min="6" max="6" width="18.28515625" style="7" customWidth="1"/>
    <col min="7" max="16384" width="0" style="7" hidden="1"/>
  </cols>
  <sheetData>
    <row r="1" spans="1:6" s="11" customFormat="1" ht="15" x14ac:dyDescent="0.2">
      <c r="A1" s="259" t="s">
        <v>127</v>
      </c>
      <c r="B1" s="743" t="str">
        <f>'1 - Cover'!C4</f>
        <v>Naylor / Galloway</v>
      </c>
      <c r="C1" s="743"/>
      <c r="D1" s="743"/>
      <c r="E1" s="260" t="s">
        <v>128</v>
      </c>
      <c r="F1" s="409">
        <f>'1 - Cover'!H4</f>
        <v>36</v>
      </c>
    </row>
    <row r="2" spans="1:6" s="11" customFormat="1" ht="15" x14ac:dyDescent="0.2">
      <c r="A2" s="261" t="s">
        <v>129</v>
      </c>
      <c r="B2" s="389">
        <f>'1 - Cover'!B5</f>
        <v>43546</v>
      </c>
      <c r="C2" s="262" t="s">
        <v>6</v>
      </c>
      <c r="D2" s="410" t="str">
        <f>'1 - Cover'!E5</f>
        <v>3d</v>
      </c>
      <c r="E2" s="263" t="s">
        <v>8</v>
      </c>
      <c r="F2" s="411" t="str">
        <f>'1 - Cover'!H5</f>
        <v>R Thomson</v>
      </c>
    </row>
    <row r="3" spans="1:6" s="11" customFormat="1" ht="8.25" customHeight="1" x14ac:dyDescent="0.25">
      <c r="A3" s="189"/>
      <c r="B3" s="190"/>
      <c r="C3" s="191"/>
      <c r="D3" s="192"/>
      <c r="E3" s="193"/>
      <c r="F3" s="194"/>
    </row>
    <row r="4" spans="1:6" ht="17.25" customHeight="1" x14ac:dyDescent="0.25">
      <c r="A4" s="742" t="s">
        <v>130</v>
      </c>
      <c r="B4" s="742"/>
      <c r="C4" s="742"/>
      <c r="D4" s="742"/>
      <c r="E4" s="742"/>
      <c r="F4" s="742"/>
    </row>
    <row r="5" spans="1:6" ht="17.25" customHeight="1" x14ac:dyDescent="0.25">
      <c r="A5" s="82"/>
      <c r="B5" s="82"/>
      <c r="C5" s="82"/>
      <c r="D5" s="82"/>
      <c r="E5" s="82"/>
      <c r="F5" s="82"/>
    </row>
    <row r="6" spans="1:6" x14ac:dyDescent="0.2">
      <c r="A6" s="16" t="s">
        <v>131</v>
      </c>
      <c r="B6" s="313"/>
      <c r="C6" s="313"/>
      <c r="D6" s="313"/>
      <c r="E6" s="313"/>
      <c r="F6" s="313"/>
    </row>
    <row r="7" spans="1:6" ht="9" customHeight="1" x14ac:dyDescent="0.25">
      <c r="A7" s="199"/>
      <c r="B7" s="199"/>
      <c r="C7" s="199"/>
      <c r="D7" s="199"/>
      <c r="E7" s="199"/>
      <c r="F7" s="199"/>
    </row>
    <row r="8" spans="1:6" x14ac:dyDescent="0.2">
      <c r="A8" s="195" t="s">
        <v>132</v>
      </c>
      <c r="B8" s="412"/>
      <c r="C8" s="195" t="s">
        <v>133</v>
      </c>
      <c r="D8" s="412"/>
      <c r="E8" s="412"/>
      <c r="F8" s="413"/>
    </row>
    <row r="9" spans="1:6" x14ac:dyDescent="0.2">
      <c r="A9" s="196" t="s">
        <v>134</v>
      </c>
      <c r="B9" s="197" t="s">
        <v>135</v>
      </c>
      <c r="C9" s="196" t="s">
        <v>134</v>
      </c>
      <c r="D9" s="313"/>
      <c r="E9" s="197" t="s">
        <v>136</v>
      </c>
      <c r="F9" s="414"/>
    </row>
    <row r="10" spans="1:6" x14ac:dyDescent="0.2">
      <c r="A10" s="415" t="s">
        <v>137</v>
      </c>
      <c r="B10" s="313" t="s">
        <v>138</v>
      </c>
      <c r="C10" s="415" t="s">
        <v>139</v>
      </c>
      <c r="D10" s="313"/>
      <c r="E10" s="313" t="s">
        <v>138</v>
      </c>
      <c r="F10" s="414"/>
    </row>
    <row r="11" spans="1:6" x14ac:dyDescent="0.2">
      <c r="A11" s="415" t="s">
        <v>140</v>
      </c>
      <c r="B11" s="313" t="s">
        <v>141</v>
      </c>
      <c r="C11" s="415" t="s">
        <v>142</v>
      </c>
      <c r="D11" s="313"/>
      <c r="E11" s="313" t="s">
        <v>141</v>
      </c>
      <c r="F11" s="414"/>
    </row>
    <row r="12" spans="1:6" x14ac:dyDescent="0.2">
      <c r="A12" s="415" t="s">
        <v>143</v>
      </c>
      <c r="B12" s="313" t="s">
        <v>144</v>
      </c>
      <c r="C12" s="415" t="s">
        <v>143</v>
      </c>
      <c r="D12" s="313"/>
      <c r="E12" s="313" t="s">
        <v>144</v>
      </c>
      <c r="F12" s="414"/>
    </row>
    <row r="13" spans="1:6" x14ac:dyDescent="0.2">
      <c r="A13" s="415" t="s">
        <v>145</v>
      </c>
      <c r="B13" s="313" t="s">
        <v>146</v>
      </c>
      <c r="C13" s="415" t="s">
        <v>145</v>
      </c>
      <c r="D13" s="313"/>
      <c r="E13" s="313" t="s">
        <v>146</v>
      </c>
      <c r="F13" s="414"/>
    </row>
    <row r="14" spans="1:6" x14ac:dyDescent="0.2">
      <c r="A14" s="415" t="s">
        <v>147</v>
      </c>
      <c r="B14" s="313" t="s">
        <v>148</v>
      </c>
      <c r="C14" s="415" t="s">
        <v>147</v>
      </c>
      <c r="D14" s="313"/>
      <c r="E14" s="313" t="s">
        <v>148</v>
      </c>
      <c r="F14" s="414"/>
    </row>
    <row r="15" spans="1:6" x14ac:dyDescent="0.2">
      <c r="A15" s="415" t="s">
        <v>149</v>
      </c>
      <c r="B15" s="313" t="s">
        <v>150</v>
      </c>
      <c r="C15" s="415" t="s">
        <v>149</v>
      </c>
      <c r="D15" s="313"/>
      <c r="E15" s="313" t="s">
        <v>150</v>
      </c>
      <c r="F15" s="414"/>
    </row>
    <row r="16" spans="1:6" x14ac:dyDescent="0.2">
      <c r="A16" s="415"/>
      <c r="B16" s="313"/>
      <c r="C16" s="415"/>
      <c r="D16" s="313"/>
      <c r="E16" s="313"/>
      <c r="F16" s="414"/>
    </row>
    <row r="17" spans="1:6" x14ac:dyDescent="0.2">
      <c r="A17" s="198" t="s">
        <v>151</v>
      </c>
      <c r="B17" s="313"/>
      <c r="C17" s="198" t="s">
        <v>152</v>
      </c>
      <c r="D17" s="313"/>
      <c r="E17" s="313"/>
      <c r="F17" s="414"/>
    </row>
    <row r="18" spans="1:6" x14ac:dyDescent="0.2">
      <c r="A18" s="196" t="s">
        <v>134</v>
      </c>
      <c r="B18" s="197" t="s">
        <v>135</v>
      </c>
      <c r="C18" s="196" t="s">
        <v>134</v>
      </c>
      <c r="D18" s="313"/>
      <c r="E18" s="197" t="s">
        <v>135</v>
      </c>
      <c r="F18" s="414"/>
    </row>
    <row r="19" spans="1:6" x14ac:dyDescent="0.2">
      <c r="A19" s="415" t="s">
        <v>139</v>
      </c>
      <c r="B19" s="313" t="s">
        <v>138</v>
      </c>
      <c r="C19" s="415" t="s">
        <v>139</v>
      </c>
      <c r="D19" s="313"/>
      <c r="E19" s="313" t="s">
        <v>138</v>
      </c>
      <c r="F19" s="414"/>
    </row>
    <row r="20" spans="1:6" x14ac:dyDescent="0.2">
      <c r="A20" s="415" t="s">
        <v>153</v>
      </c>
      <c r="B20" s="313" t="s">
        <v>141</v>
      </c>
      <c r="C20" s="415" t="s">
        <v>154</v>
      </c>
      <c r="D20" s="313"/>
      <c r="E20" s="313" t="s">
        <v>141</v>
      </c>
      <c r="F20" s="414"/>
    </row>
    <row r="21" spans="1:6" x14ac:dyDescent="0.2">
      <c r="A21" s="415" t="s">
        <v>143</v>
      </c>
      <c r="B21" s="313" t="s">
        <v>144</v>
      </c>
      <c r="C21" s="415" t="s">
        <v>155</v>
      </c>
      <c r="D21" s="313"/>
      <c r="E21" s="313" t="s">
        <v>144</v>
      </c>
      <c r="F21" s="414"/>
    </row>
    <row r="22" spans="1:6" x14ac:dyDescent="0.2">
      <c r="A22" s="415" t="s">
        <v>156</v>
      </c>
      <c r="B22" s="313" t="s">
        <v>146</v>
      </c>
      <c r="C22" s="415" t="s">
        <v>157</v>
      </c>
      <c r="D22" s="313"/>
      <c r="E22" s="313" t="s">
        <v>146</v>
      </c>
      <c r="F22" s="414"/>
    </row>
    <row r="23" spans="1:6" x14ac:dyDescent="0.2">
      <c r="A23" s="415" t="s">
        <v>147</v>
      </c>
      <c r="B23" s="313" t="s">
        <v>148</v>
      </c>
      <c r="C23" s="415" t="s">
        <v>158</v>
      </c>
      <c r="D23" s="313"/>
      <c r="E23" s="313" t="s">
        <v>148</v>
      </c>
      <c r="F23" s="414"/>
    </row>
    <row r="24" spans="1:6" x14ac:dyDescent="0.2">
      <c r="A24" s="415" t="s">
        <v>159</v>
      </c>
      <c r="B24" s="313" t="s">
        <v>150</v>
      </c>
      <c r="C24" s="415" t="s">
        <v>159</v>
      </c>
      <c r="D24" s="313"/>
      <c r="E24" s="313" t="s">
        <v>150</v>
      </c>
      <c r="F24" s="414"/>
    </row>
    <row r="25" spans="1:6" x14ac:dyDescent="0.2">
      <c r="A25" s="415"/>
      <c r="B25" s="313"/>
      <c r="C25" s="415"/>
      <c r="D25" s="313"/>
      <c r="E25" s="313"/>
      <c r="F25" s="414"/>
    </row>
    <row r="26" spans="1:6" x14ac:dyDescent="0.2">
      <c r="A26" s="198" t="s">
        <v>160</v>
      </c>
      <c r="B26" s="313"/>
      <c r="C26" s="198" t="s">
        <v>161</v>
      </c>
      <c r="D26" s="313"/>
      <c r="E26" s="313"/>
      <c r="F26" s="414"/>
    </row>
    <row r="27" spans="1:6" x14ac:dyDescent="0.2">
      <c r="A27" s="196" t="s">
        <v>134</v>
      </c>
      <c r="B27" s="197" t="s">
        <v>136</v>
      </c>
      <c r="C27" s="196" t="s">
        <v>134</v>
      </c>
      <c r="D27" s="313"/>
      <c r="E27" s="197" t="s">
        <v>136</v>
      </c>
      <c r="F27" s="414"/>
    </row>
    <row r="28" spans="1:6" x14ac:dyDescent="0.2">
      <c r="A28" s="415" t="s">
        <v>162</v>
      </c>
      <c r="B28" s="313" t="s">
        <v>138</v>
      </c>
      <c r="C28" s="415" t="s">
        <v>139</v>
      </c>
      <c r="D28" s="313"/>
      <c r="E28" s="313" t="s">
        <v>138</v>
      </c>
      <c r="F28" s="414"/>
    </row>
    <row r="29" spans="1:6" x14ac:dyDescent="0.2">
      <c r="A29" s="415" t="s">
        <v>163</v>
      </c>
      <c r="B29" s="313" t="s">
        <v>141</v>
      </c>
      <c r="C29" s="415" t="s">
        <v>153</v>
      </c>
      <c r="D29" s="313"/>
      <c r="E29" s="313" t="s">
        <v>141</v>
      </c>
      <c r="F29" s="414"/>
    </row>
    <row r="30" spans="1:6" x14ac:dyDescent="0.2">
      <c r="A30" s="415" t="s">
        <v>164</v>
      </c>
      <c r="B30" s="313" t="s">
        <v>144</v>
      </c>
      <c r="C30" s="415" t="s">
        <v>143</v>
      </c>
      <c r="D30" s="313"/>
      <c r="E30" s="313" t="s">
        <v>144</v>
      </c>
      <c r="F30" s="414"/>
    </row>
    <row r="31" spans="1:6" x14ac:dyDescent="0.2">
      <c r="A31" s="415" t="s">
        <v>165</v>
      </c>
      <c r="B31" s="313" t="s">
        <v>146</v>
      </c>
      <c r="C31" s="415" t="s">
        <v>157</v>
      </c>
      <c r="D31" s="313"/>
      <c r="E31" s="313" t="s">
        <v>146</v>
      </c>
      <c r="F31" s="414"/>
    </row>
    <row r="32" spans="1:6" x14ac:dyDescent="0.2">
      <c r="A32" s="415" t="s">
        <v>166</v>
      </c>
      <c r="B32" s="313" t="s">
        <v>148</v>
      </c>
      <c r="C32" s="415" t="s">
        <v>166</v>
      </c>
      <c r="D32" s="313"/>
      <c r="E32" s="313" t="s">
        <v>148</v>
      </c>
      <c r="F32" s="414"/>
    </row>
    <row r="33" spans="1:6" x14ac:dyDescent="0.2">
      <c r="A33" s="415" t="s">
        <v>149</v>
      </c>
      <c r="B33" s="313" t="s">
        <v>150</v>
      </c>
      <c r="C33" s="415" t="s">
        <v>149</v>
      </c>
      <c r="D33" s="313"/>
      <c r="E33" s="313" t="s">
        <v>150</v>
      </c>
      <c r="F33" s="414"/>
    </row>
    <row r="34" spans="1:6" x14ac:dyDescent="0.2">
      <c r="A34" s="415"/>
      <c r="B34" s="313"/>
      <c r="C34" s="415"/>
      <c r="D34" s="313"/>
      <c r="E34" s="313"/>
      <c r="F34" s="414"/>
    </row>
    <row r="35" spans="1:6" x14ac:dyDescent="0.2">
      <c r="A35" s="198" t="s">
        <v>167</v>
      </c>
      <c r="B35" s="313"/>
      <c r="C35" s="198" t="s">
        <v>168</v>
      </c>
      <c r="D35" s="313"/>
      <c r="E35" s="313"/>
      <c r="F35" s="414"/>
    </row>
    <row r="36" spans="1:6" x14ac:dyDescent="0.2">
      <c r="A36" s="196" t="s">
        <v>134</v>
      </c>
      <c r="B36" s="197" t="s">
        <v>136</v>
      </c>
      <c r="C36" s="196" t="s">
        <v>134</v>
      </c>
      <c r="D36" s="313"/>
      <c r="E36" s="197" t="s">
        <v>136</v>
      </c>
      <c r="F36" s="414"/>
    </row>
    <row r="37" spans="1:6" x14ac:dyDescent="0.2">
      <c r="A37" s="415" t="s">
        <v>139</v>
      </c>
      <c r="B37" s="313" t="s">
        <v>169</v>
      </c>
      <c r="C37" s="415" t="s">
        <v>170</v>
      </c>
      <c r="D37" s="313"/>
      <c r="E37" s="313" t="s">
        <v>169</v>
      </c>
      <c r="F37" s="414"/>
    </row>
    <row r="38" spans="1:6" x14ac:dyDescent="0.2">
      <c r="A38" s="415" t="s">
        <v>142</v>
      </c>
      <c r="B38" s="313" t="s">
        <v>171</v>
      </c>
      <c r="C38" s="415" t="s">
        <v>172</v>
      </c>
      <c r="D38" s="313"/>
      <c r="E38" s="313" t="s">
        <v>171</v>
      </c>
      <c r="F38" s="414"/>
    </row>
    <row r="39" spans="1:6" x14ac:dyDescent="0.2">
      <c r="A39" s="415" t="s">
        <v>173</v>
      </c>
      <c r="B39" s="313" t="s">
        <v>174</v>
      </c>
      <c r="C39" s="415" t="s">
        <v>175</v>
      </c>
      <c r="D39" s="313"/>
      <c r="E39" s="313" t="s">
        <v>174</v>
      </c>
      <c r="F39" s="414"/>
    </row>
    <row r="40" spans="1:6" x14ac:dyDescent="0.2">
      <c r="A40" s="415" t="s">
        <v>156</v>
      </c>
      <c r="B40" s="313" t="s">
        <v>176</v>
      </c>
      <c r="C40" s="415" t="s">
        <v>177</v>
      </c>
      <c r="D40" s="313"/>
      <c r="E40" s="313" t="s">
        <v>176</v>
      </c>
      <c r="F40" s="414"/>
    </row>
    <row r="41" spans="1:6" x14ac:dyDescent="0.2">
      <c r="A41" s="415" t="s">
        <v>178</v>
      </c>
      <c r="B41" s="313" t="s">
        <v>179</v>
      </c>
      <c r="C41" s="415" t="s">
        <v>180</v>
      </c>
      <c r="D41" s="313"/>
      <c r="E41" s="313" t="s">
        <v>179</v>
      </c>
      <c r="F41" s="414"/>
    </row>
    <row r="42" spans="1:6" x14ac:dyDescent="0.2">
      <c r="A42" s="415" t="s">
        <v>150</v>
      </c>
      <c r="B42" s="313" t="s">
        <v>181</v>
      </c>
      <c r="C42" s="415" t="s">
        <v>182</v>
      </c>
      <c r="D42" s="313"/>
      <c r="E42" s="313" t="s">
        <v>181</v>
      </c>
      <c r="F42" s="414"/>
    </row>
    <row r="43" spans="1:6" x14ac:dyDescent="0.2">
      <c r="A43" s="415"/>
      <c r="B43" s="313"/>
      <c r="C43" s="415"/>
      <c r="D43" s="313"/>
      <c r="E43" s="313"/>
      <c r="F43" s="414"/>
    </row>
    <row r="44" spans="1:6" x14ac:dyDescent="0.2">
      <c r="A44" s="198" t="s">
        <v>183</v>
      </c>
      <c r="B44" s="313"/>
      <c r="C44" s="198" t="s">
        <v>184</v>
      </c>
      <c r="D44" s="313"/>
      <c r="E44" s="313"/>
      <c r="F44" s="414"/>
    </row>
    <row r="45" spans="1:6" x14ac:dyDescent="0.2">
      <c r="A45" s="196" t="s">
        <v>134</v>
      </c>
      <c r="B45" s="197" t="s">
        <v>185</v>
      </c>
      <c r="C45" s="196" t="s">
        <v>134</v>
      </c>
      <c r="D45" s="313"/>
      <c r="E45" s="197" t="s">
        <v>136</v>
      </c>
      <c r="F45" s="414"/>
    </row>
    <row r="46" spans="1:6" x14ac:dyDescent="0.2">
      <c r="A46" s="415" t="s">
        <v>186</v>
      </c>
      <c r="B46" s="313" t="s">
        <v>169</v>
      </c>
      <c r="C46" s="415" t="s">
        <v>187</v>
      </c>
      <c r="D46" s="313"/>
      <c r="E46" s="313" t="s">
        <v>169</v>
      </c>
      <c r="F46" s="414"/>
    </row>
    <row r="47" spans="1:6" x14ac:dyDescent="0.2">
      <c r="A47" s="415" t="s">
        <v>188</v>
      </c>
      <c r="B47" s="313" t="s">
        <v>171</v>
      </c>
      <c r="C47" s="415" t="s">
        <v>188</v>
      </c>
      <c r="D47" s="313"/>
      <c r="E47" s="313" t="s">
        <v>171</v>
      </c>
      <c r="F47" s="414"/>
    </row>
    <row r="48" spans="1:6" x14ac:dyDescent="0.2">
      <c r="A48" s="415" t="s">
        <v>189</v>
      </c>
      <c r="B48" s="313" t="s">
        <v>174</v>
      </c>
      <c r="C48" s="415" t="s">
        <v>189</v>
      </c>
      <c r="D48" s="313"/>
      <c r="E48" s="313" t="s">
        <v>174</v>
      </c>
      <c r="F48" s="414"/>
    </row>
    <row r="49" spans="1:6" x14ac:dyDescent="0.2">
      <c r="A49" s="415" t="s">
        <v>190</v>
      </c>
      <c r="B49" s="313" t="s">
        <v>176</v>
      </c>
      <c r="C49" s="415" t="s">
        <v>190</v>
      </c>
      <c r="D49" s="313"/>
      <c r="E49" s="313" t="s">
        <v>176</v>
      </c>
      <c r="F49" s="414"/>
    </row>
    <row r="50" spans="1:6" x14ac:dyDescent="0.2">
      <c r="A50" s="415" t="s">
        <v>178</v>
      </c>
      <c r="B50" s="313" t="s">
        <v>179</v>
      </c>
      <c r="C50" s="415" t="s">
        <v>178</v>
      </c>
      <c r="D50" s="313"/>
      <c r="E50" s="313" t="s">
        <v>179</v>
      </c>
      <c r="F50" s="414"/>
    </row>
    <row r="51" spans="1:6" x14ac:dyDescent="0.2">
      <c r="A51" s="416" t="s">
        <v>191</v>
      </c>
      <c r="B51" s="417" t="s">
        <v>181</v>
      </c>
      <c r="C51" s="416" t="s">
        <v>191</v>
      </c>
      <c r="D51" s="417"/>
      <c r="E51" s="417" t="s">
        <v>181</v>
      </c>
      <c r="F51" s="418"/>
    </row>
    <row r="52" spans="1:6" hidden="1" x14ac:dyDescent="0.2">
      <c r="A52" s="313"/>
      <c r="B52" s="313"/>
      <c r="C52" s="313"/>
      <c r="D52" s="313"/>
      <c r="E52" s="313"/>
      <c r="F52" s="313"/>
    </row>
    <row r="53" spans="1:6" hidden="1" x14ac:dyDescent="0.2">
      <c r="A53" s="313"/>
      <c r="B53" s="313"/>
      <c r="C53" s="313"/>
      <c r="D53" s="313"/>
      <c r="E53" s="313"/>
      <c r="F53" s="313"/>
    </row>
    <row r="54" spans="1:6" hidden="1" x14ac:dyDescent="0.2">
      <c r="A54" s="313"/>
      <c r="B54" s="313"/>
      <c r="C54" s="313"/>
      <c r="D54" s="313"/>
      <c r="E54" s="313"/>
      <c r="F54" s="313"/>
    </row>
  </sheetData>
  <mergeCells count="2">
    <mergeCell ref="A4:F4"/>
    <mergeCell ref="B1:D1"/>
  </mergeCells>
  <phoneticPr fontId="0" type="noConversion"/>
  <pageMargins left="0.39370078740157483" right="0.31496062992125984" top="0.98425196850393704" bottom="0.98425196850393704" header="0.51181102362204722" footer="0.51181102362204722"/>
  <pageSetup scale="97" orientation="portrait" horizontalDpi="1200" verticalDpi="1200" r:id="rId1"/>
  <headerFooter alignWithMargins="0">
    <oddFoote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R94"/>
  <sheetViews>
    <sheetView topLeftCell="A4" zoomScaleNormal="100" workbookViewId="0">
      <selection activeCell="P13" sqref="P13"/>
    </sheetView>
  </sheetViews>
  <sheetFormatPr defaultRowHeight="12.75" x14ac:dyDescent="0.2"/>
  <cols>
    <col min="1" max="1" width="7.85546875" customWidth="1"/>
    <col min="2" max="2" width="7.42578125" customWidth="1"/>
    <col min="3" max="3" width="6.7109375" customWidth="1"/>
    <col min="4" max="4" width="8.140625" customWidth="1"/>
    <col min="5" max="7" width="6.7109375" customWidth="1"/>
    <col min="8" max="8" width="7.140625" customWidth="1"/>
    <col min="9" max="12" width="6.7109375" customWidth="1"/>
    <col min="13" max="13" width="12" customWidth="1"/>
    <col min="14" max="14" width="6.7109375" customWidth="1"/>
  </cols>
  <sheetData>
    <row r="1" spans="1:13" ht="15" x14ac:dyDescent="0.25">
      <c r="A1" s="257" t="s">
        <v>2</v>
      </c>
      <c r="B1" s="237"/>
      <c r="C1" s="618" t="str">
        <f>'1 - Cover'!C4</f>
        <v>Naylor / Galloway</v>
      </c>
      <c r="D1" s="618"/>
      <c r="E1" s="618"/>
      <c r="F1" s="618"/>
      <c r="G1" s="618"/>
      <c r="H1" s="237"/>
      <c r="I1" s="237"/>
      <c r="J1" s="256" t="s">
        <v>192</v>
      </c>
      <c r="K1" s="755">
        <f>'1 - Cover'!H4</f>
        <v>36</v>
      </c>
      <c r="L1" s="755"/>
      <c r="M1" s="756"/>
    </row>
    <row r="2" spans="1:13" ht="15.75" thickBot="1" x14ac:dyDescent="0.3">
      <c r="A2" s="258" t="s">
        <v>5</v>
      </c>
      <c r="B2" s="767">
        <f>'1 - Cover'!B5</f>
        <v>43546</v>
      </c>
      <c r="C2" s="768"/>
      <c r="D2" s="239"/>
      <c r="E2" s="766" t="s">
        <v>6</v>
      </c>
      <c r="F2" s="766"/>
      <c r="G2" s="238" t="str">
        <f>'1 - Cover'!E5</f>
        <v>3d</v>
      </c>
      <c r="H2" s="239"/>
      <c r="I2" s="239"/>
      <c r="J2" s="236" t="s">
        <v>8</v>
      </c>
      <c r="K2" s="629" t="str">
        <f>'1 - Cover'!H5</f>
        <v>R Thomson</v>
      </c>
      <c r="L2" s="629"/>
      <c r="M2" s="630"/>
    </row>
    <row r="3" spans="1:13" ht="6" customHeight="1" x14ac:dyDescent="0.2"/>
    <row r="4" spans="1:13" ht="18" x14ac:dyDescent="0.25">
      <c r="B4" s="500" t="s">
        <v>193</v>
      </c>
      <c r="C4" s="500"/>
      <c r="D4" s="500"/>
      <c r="E4" s="500"/>
      <c r="F4" s="500"/>
      <c r="G4" s="500"/>
      <c r="H4" s="500"/>
      <c r="I4" s="500"/>
      <c r="J4" s="500"/>
      <c r="K4" s="500"/>
    </row>
    <row r="5" spans="1:13" ht="6" customHeight="1" thickBot="1" x14ac:dyDescent="0.25"/>
    <row r="6" spans="1:13" s="46" customFormat="1" ht="24.95" customHeight="1" thickTop="1" thickBot="1" x14ac:dyDescent="0.25">
      <c r="B6" s="419" t="s">
        <v>194</v>
      </c>
      <c r="C6" s="420" t="s">
        <v>195</v>
      </c>
      <c r="D6" s="420" t="s">
        <v>196</v>
      </c>
      <c r="E6" s="420" t="s">
        <v>197</v>
      </c>
      <c r="F6" s="420" t="s">
        <v>198</v>
      </c>
      <c r="G6" s="420" t="s">
        <v>199</v>
      </c>
      <c r="H6" s="420" t="s">
        <v>200</v>
      </c>
      <c r="I6" s="420" t="s">
        <v>201</v>
      </c>
      <c r="J6" s="420" t="s">
        <v>202</v>
      </c>
      <c r="K6" s="420" t="s">
        <v>203</v>
      </c>
      <c r="L6" s="420" t="s">
        <v>204</v>
      </c>
      <c r="M6" s="421" t="s">
        <v>205</v>
      </c>
    </row>
    <row r="7" spans="1:13" ht="13.5" customHeight="1" thickTop="1" x14ac:dyDescent="0.2">
      <c r="B7" s="422" t="str">
        <f>'4 - Phase Control'!A8</f>
        <v>A</v>
      </c>
      <c r="C7" s="139">
        <v>5</v>
      </c>
      <c r="D7" s="139">
        <v>7</v>
      </c>
      <c r="E7" s="139">
        <v>5</v>
      </c>
      <c r="F7" s="139"/>
      <c r="G7" s="139"/>
      <c r="H7" s="139">
        <v>40</v>
      </c>
      <c r="I7" s="139"/>
      <c r="J7" s="139"/>
      <c r="K7" s="371">
        <f>IF('11 - All Red'!D19="","",'11 - All Red'!N19)</f>
        <v>4</v>
      </c>
      <c r="L7" s="371">
        <f>IF(K7="","",'11 - All Red'!D19)</f>
        <v>1.5</v>
      </c>
      <c r="M7" s="372">
        <f>IF(K7="","",'11 - All Red'!I19)</f>
        <v>0</v>
      </c>
    </row>
    <row r="8" spans="1:13" ht="13.5" customHeight="1" x14ac:dyDescent="0.2">
      <c r="B8" s="423" t="str">
        <f>'4 - Phase Control'!A9</f>
        <v>B</v>
      </c>
      <c r="C8" s="141">
        <v>5</v>
      </c>
      <c r="D8" s="141" t="s">
        <v>206</v>
      </c>
      <c r="E8" s="141">
        <v>5</v>
      </c>
      <c r="F8" s="141"/>
      <c r="G8" s="141"/>
      <c r="H8" s="141">
        <v>20</v>
      </c>
      <c r="I8" s="141"/>
      <c r="J8" s="141"/>
      <c r="K8" s="373">
        <f>IF('11 - All Red'!D20="","",'11 - All Red'!N20)</f>
        <v>4</v>
      </c>
      <c r="L8" s="373">
        <f>IF(K8="","",'11 - All Red'!D20)</f>
        <v>2</v>
      </c>
      <c r="M8" s="374">
        <f>IF(K8="","",'11 - All Red'!I20)</f>
        <v>0</v>
      </c>
    </row>
    <row r="9" spans="1:13" ht="13.5" customHeight="1" x14ac:dyDescent="0.2">
      <c r="B9" s="423" t="str">
        <f>'4 - Phase Control'!A10</f>
        <v>C</v>
      </c>
      <c r="C9" s="141">
        <v>5</v>
      </c>
      <c r="D9" s="141">
        <v>3</v>
      </c>
      <c r="E9" s="141">
        <v>5</v>
      </c>
      <c r="F9" s="141"/>
      <c r="G9" s="141"/>
      <c r="H9" s="141">
        <v>40</v>
      </c>
      <c r="I9" s="141"/>
      <c r="J9" s="141"/>
      <c r="K9" s="373">
        <f>IF('11 - All Red'!D21="","",'11 - All Red'!N21)</f>
        <v>4</v>
      </c>
      <c r="L9" s="373">
        <f>IF(K9="","",'11 - All Red'!D21)</f>
        <v>2</v>
      </c>
      <c r="M9" s="374">
        <f>IF(K9="","",'11 - All Red'!I21)</f>
        <v>0</v>
      </c>
    </row>
    <row r="10" spans="1:13" ht="24.75" customHeight="1" x14ac:dyDescent="0.2">
      <c r="B10" s="424" t="str">
        <f>'4 - Phase Control'!A11</f>
        <v>D</v>
      </c>
      <c r="C10" s="141">
        <v>5</v>
      </c>
      <c r="D10" s="364" t="s">
        <v>207</v>
      </c>
      <c r="E10" s="365">
        <v>5</v>
      </c>
      <c r="F10" s="141"/>
      <c r="G10" s="141"/>
      <c r="H10" s="141">
        <v>20</v>
      </c>
      <c r="I10" s="141"/>
      <c r="J10" s="141"/>
      <c r="K10" s="373">
        <f>IF('11 - All Red'!D22="","",'11 - All Red'!N22)</f>
        <v>4</v>
      </c>
      <c r="L10" s="373">
        <f>IF(K10="","",'11 - All Red'!D22)</f>
        <v>1.5</v>
      </c>
      <c r="M10" s="374">
        <f>IF(K10="","",'11 - All Red'!I22)</f>
        <v>0</v>
      </c>
    </row>
    <row r="11" spans="1:13" ht="13.5" customHeight="1" x14ac:dyDescent="0.2">
      <c r="B11" s="423" t="str">
        <f>'4 - Phase Control'!A12</f>
        <v>E</v>
      </c>
      <c r="C11" s="141"/>
      <c r="D11" s="375"/>
      <c r="E11" s="376"/>
      <c r="F11" s="141"/>
      <c r="G11" s="141"/>
      <c r="H11" s="141" t="str">
        <f>IF($K11="","",25)</f>
        <v/>
      </c>
      <c r="I11" s="141"/>
      <c r="J11" s="141"/>
      <c r="K11" s="373" t="str">
        <f>IF('11 - All Red'!D23="","",'11 - All Red'!N23)</f>
        <v/>
      </c>
      <c r="L11" s="373" t="str">
        <f>IF(K11="","",'11 - All Red'!D23)</f>
        <v/>
      </c>
      <c r="M11" s="374" t="str">
        <f>IF(K11="","",'11 - All Red'!I23)</f>
        <v/>
      </c>
    </row>
    <row r="12" spans="1:13" ht="13.5" customHeight="1" x14ac:dyDescent="0.2">
      <c r="B12" s="423" t="str">
        <f>'4 - Phase Control'!A13</f>
        <v>F</v>
      </c>
      <c r="C12" s="141"/>
      <c r="D12" s="141"/>
      <c r="E12" s="141" t="str">
        <f t="shared" ref="E12:E13" si="0">IF($K12="","",5)</f>
        <v/>
      </c>
      <c r="F12" s="141"/>
      <c r="G12" s="141"/>
      <c r="H12" s="141" t="str">
        <f>IF($K12="","",25)</f>
        <v/>
      </c>
      <c r="I12" s="141"/>
      <c r="J12" s="141"/>
      <c r="K12" s="373" t="str">
        <f>IF('11 - All Red'!D24="","",'11 - All Red'!N24)</f>
        <v/>
      </c>
      <c r="L12" s="373" t="str">
        <f>IF(K12="","",'11 - All Red'!D24)</f>
        <v/>
      </c>
      <c r="M12" s="374" t="str">
        <f>IF(K12="","",'11 - All Red'!I24)</f>
        <v/>
      </c>
    </row>
    <row r="13" spans="1:13" ht="13.5" customHeight="1" thickBot="1" x14ac:dyDescent="0.25">
      <c r="B13" s="425" t="str">
        <f>'4 - Phase Control'!A14</f>
        <v>G</v>
      </c>
      <c r="C13" s="143"/>
      <c r="D13" s="143"/>
      <c r="E13" s="143" t="str">
        <f t="shared" si="0"/>
        <v/>
      </c>
      <c r="F13" s="143"/>
      <c r="G13" s="143"/>
      <c r="H13" s="143" t="str">
        <f>IF($K13="","",25)</f>
        <v/>
      </c>
      <c r="I13" s="143"/>
      <c r="J13" s="143"/>
      <c r="K13" s="377" t="str">
        <f>IF('11 - All Red'!D25="","",'11 - All Red'!N25)</f>
        <v/>
      </c>
      <c r="L13" s="377" t="str">
        <f>IF(K13="","",'11 - All Red'!D25)</f>
        <v/>
      </c>
      <c r="M13" s="378" t="str">
        <f>IF(K13="","",'11 - All Red'!I25)</f>
        <v/>
      </c>
    </row>
    <row r="14" spans="1:13" ht="6" customHeight="1" thickTop="1" thickBot="1" x14ac:dyDescent="0.25"/>
    <row r="15" spans="1:13" ht="12.75" customHeight="1" thickTop="1" x14ac:dyDescent="0.2">
      <c r="A15" s="757" t="s">
        <v>82</v>
      </c>
      <c r="B15" s="759" t="s">
        <v>208</v>
      </c>
      <c r="C15" s="759" t="s">
        <v>49</v>
      </c>
      <c r="D15" s="759" t="s">
        <v>62</v>
      </c>
      <c r="E15" s="759" t="s">
        <v>209</v>
      </c>
      <c r="F15" s="759" t="s">
        <v>210</v>
      </c>
      <c r="G15" s="759" t="s">
        <v>211</v>
      </c>
      <c r="H15" s="759" t="s">
        <v>212</v>
      </c>
      <c r="I15" s="759" t="s">
        <v>208</v>
      </c>
      <c r="J15" s="759" t="s">
        <v>49</v>
      </c>
      <c r="K15" s="759" t="s">
        <v>62</v>
      </c>
      <c r="L15" s="759" t="s">
        <v>209</v>
      </c>
      <c r="M15" s="764" t="s">
        <v>213</v>
      </c>
    </row>
    <row r="16" spans="1:13" ht="12.75" customHeight="1" thickBot="1" x14ac:dyDescent="0.25">
      <c r="A16" s="758"/>
      <c r="B16" s="760"/>
      <c r="C16" s="760"/>
      <c r="D16" s="760"/>
      <c r="E16" s="760"/>
      <c r="F16" s="760"/>
      <c r="G16" s="760"/>
      <c r="H16" s="760"/>
      <c r="I16" s="760"/>
      <c r="J16" s="760"/>
      <c r="K16" s="760"/>
      <c r="L16" s="760"/>
      <c r="M16" s="765"/>
    </row>
    <row r="17" spans="1:18" ht="13.5" customHeight="1" thickTop="1" x14ac:dyDescent="0.2">
      <c r="A17" s="761" t="str">
        <f>B7</f>
        <v>A</v>
      </c>
      <c r="B17" s="139">
        <v>5</v>
      </c>
      <c r="C17" s="341" t="s">
        <v>214</v>
      </c>
      <c r="D17" s="139">
        <v>5</v>
      </c>
      <c r="E17" s="222">
        <v>1</v>
      </c>
      <c r="F17" s="350">
        <v>3</v>
      </c>
      <c r="G17" s="350">
        <v>1.2</v>
      </c>
      <c r="H17" s="350">
        <v>15</v>
      </c>
      <c r="I17" s="139">
        <v>9</v>
      </c>
      <c r="J17" s="341">
        <v>1</v>
      </c>
      <c r="K17" s="139">
        <f>D18</f>
        <v>6</v>
      </c>
      <c r="L17" s="222">
        <v>5</v>
      </c>
      <c r="M17" s="140">
        <v>4</v>
      </c>
    </row>
    <row r="18" spans="1:18" ht="13.5" customHeight="1" x14ac:dyDescent="0.2">
      <c r="A18" s="762"/>
      <c r="B18" s="141" t="s">
        <v>215</v>
      </c>
      <c r="C18" s="141" t="s">
        <v>216</v>
      </c>
      <c r="D18" s="141">
        <v>6</v>
      </c>
      <c r="E18" s="223">
        <v>2</v>
      </c>
      <c r="F18" s="351">
        <v>3</v>
      </c>
      <c r="G18" s="351">
        <v>1.2</v>
      </c>
      <c r="H18" s="351">
        <v>15</v>
      </c>
      <c r="I18" s="141"/>
      <c r="J18" s="141"/>
      <c r="K18" s="141"/>
      <c r="L18" s="223">
        <v>6</v>
      </c>
      <c r="M18" s="142"/>
    </row>
    <row r="19" spans="1:18" ht="13.5" customHeight="1" x14ac:dyDescent="0.2">
      <c r="A19" s="762"/>
      <c r="B19" s="141">
        <v>6</v>
      </c>
      <c r="C19" s="141" t="s">
        <v>217</v>
      </c>
      <c r="D19" s="141">
        <v>5</v>
      </c>
      <c r="E19" s="223">
        <v>3</v>
      </c>
      <c r="F19" s="351">
        <v>3</v>
      </c>
      <c r="G19" s="351">
        <v>0.8</v>
      </c>
      <c r="H19" s="351">
        <v>15</v>
      </c>
      <c r="I19" s="141"/>
      <c r="J19" s="141"/>
      <c r="K19" s="141"/>
      <c r="L19" s="223">
        <v>7</v>
      </c>
      <c r="M19" s="142"/>
    </row>
    <row r="20" spans="1:18" ht="13.5" customHeight="1" thickBot="1" x14ac:dyDescent="0.25">
      <c r="A20" s="763"/>
      <c r="B20" s="143">
        <v>11</v>
      </c>
      <c r="C20" s="340" t="str">
        <f>C17</f>
        <v>6M</v>
      </c>
      <c r="D20" s="143">
        <f>D17</f>
        <v>5</v>
      </c>
      <c r="E20" s="224">
        <v>4</v>
      </c>
      <c r="F20" s="352">
        <v>3.5</v>
      </c>
      <c r="G20" s="352">
        <v>2.5</v>
      </c>
      <c r="H20" s="352">
        <v>15</v>
      </c>
      <c r="I20" s="143"/>
      <c r="J20" s="143"/>
      <c r="K20" s="143"/>
      <c r="L20" s="224">
        <v>8</v>
      </c>
      <c r="M20" s="144"/>
    </row>
    <row r="21" spans="1:18" ht="13.5" customHeight="1" thickTop="1" x14ac:dyDescent="0.2">
      <c r="A21" s="761" t="str">
        <f>B8</f>
        <v>B</v>
      </c>
      <c r="B21" s="145">
        <f>B25</f>
        <v>7</v>
      </c>
      <c r="C21" s="145" t="str">
        <f t="shared" ref="C21:D21" si="1">C25</f>
        <v>6M</v>
      </c>
      <c r="D21" s="145">
        <f t="shared" si="1"/>
        <v>1</v>
      </c>
      <c r="E21" s="225">
        <v>1</v>
      </c>
      <c r="F21" s="145">
        <f t="shared" ref="F21:H21" si="2">F25</f>
        <v>3</v>
      </c>
      <c r="G21" s="145">
        <f t="shared" si="2"/>
        <v>1.2</v>
      </c>
      <c r="H21" s="145">
        <f t="shared" si="2"/>
        <v>15</v>
      </c>
      <c r="I21" s="145"/>
      <c r="J21" s="145"/>
      <c r="K21" s="145"/>
      <c r="L21" s="222">
        <v>5</v>
      </c>
      <c r="M21" s="140"/>
      <c r="R21" s="135"/>
    </row>
    <row r="22" spans="1:18" ht="13.5" customHeight="1" x14ac:dyDescent="0.2">
      <c r="A22" s="762"/>
      <c r="B22" s="141">
        <f>B27</f>
        <v>8</v>
      </c>
      <c r="C22" s="141" t="str">
        <f t="shared" ref="C22" si="3">C27</f>
        <v>16M</v>
      </c>
      <c r="D22" s="141">
        <v>3</v>
      </c>
      <c r="E22" s="223">
        <v>2</v>
      </c>
      <c r="F22" s="141">
        <f t="shared" ref="F22:H22" si="4">F27</f>
        <v>3</v>
      </c>
      <c r="G22" s="141">
        <f t="shared" si="4"/>
        <v>0.8</v>
      </c>
      <c r="H22" s="141">
        <f t="shared" si="4"/>
        <v>15</v>
      </c>
      <c r="I22" s="141"/>
      <c r="J22" s="141"/>
      <c r="K22" s="141"/>
      <c r="L22" s="223">
        <v>6</v>
      </c>
      <c r="M22" s="142"/>
    </row>
    <row r="23" spans="1:18" ht="13.5" customHeight="1" x14ac:dyDescent="0.2">
      <c r="A23" s="762"/>
      <c r="B23" s="141">
        <v>12</v>
      </c>
      <c r="C23" s="141" t="str">
        <f>C25</f>
        <v>6M</v>
      </c>
      <c r="D23" s="141">
        <f>D25</f>
        <v>1</v>
      </c>
      <c r="E23" s="223">
        <v>3</v>
      </c>
      <c r="F23" s="351">
        <v>3.5</v>
      </c>
      <c r="G23" s="351">
        <v>2.5</v>
      </c>
      <c r="H23" s="351">
        <v>15</v>
      </c>
      <c r="I23" s="141"/>
      <c r="J23" s="141"/>
      <c r="K23" s="141"/>
      <c r="L23" s="223">
        <v>7</v>
      </c>
      <c r="M23" s="142"/>
    </row>
    <row r="24" spans="1:18" ht="13.5" customHeight="1" thickBot="1" x14ac:dyDescent="0.25">
      <c r="A24" s="763"/>
      <c r="B24" s="146"/>
      <c r="C24" s="146"/>
      <c r="D24" s="146"/>
      <c r="E24" s="226">
        <v>4</v>
      </c>
      <c r="F24" s="354"/>
      <c r="G24" s="354"/>
      <c r="H24" s="354"/>
      <c r="I24" s="146"/>
      <c r="J24" s="146"/>
      <c r="K24" s="146"/>
      <c r="L24" s="224">
        <v>8</v>
      </c>
      <c r="M24" s="144"/>
    </row>
    <row r="25" spans="1:18" ht="13.5" customHeight="1" thickTop="1" x14ac:dyDescent="0.2">
      <c r="A25" s="761" t="str">
        <f>B9</f>
        <v>C</v>
      </c>
      <c r="B25" s="139">
        <v>7</v>
      </c>
      <c r="C25" s="139" t="s">
        <v>214</v>
      </c>
      <c r="D25" s="139">
        <v>1</v>
      </c>
      <c r="E25" s="222">
        <v>1</v>
      </c>
      <c r="F25" s="350">
        <v>3</v>
      </c>
      <c r="G25" s="350">
        <v>1.2</v>
      </c>
      <c r="H25" s="350">
        <v>15</v>
      </c>
      <c r="I25" s="139">
        <v>10</v>
      </c>
      <c r="J25" s="139">
        <v>1</v>
      </c>
      <c r="K25" s="139">
        <v>2</v>
      </c>
      <c r="L25" s="222">
        <v>5</v>
      </c>
      <c r="M25" s="140">
        <v>4</v>
      </c>
    </row>
    <row r="26" spans="1:18" ht="13.5" customHeight="1" x14ac:dyDescent="0.2">
      <c r="A26" s="762"/>
      <c r="B26" s="141" t="s">
        <v>218</v>
      </c>
      <c r="C26" s="348" t="s">
        <v>216</v>
      </c>
      <c r="D26" s="141">
        <v>2</v>
      </c>
      <c r="E26" s="223">
        <v>2</v>
      </c>
      <c r="F26" s="351">
        <v>3</v>
      </c>
      <c r="G26" s="351">
        <v>1.2</v>
      </c>
      <c r="H26" s="351">
        <v>15</v>
      </c>
      <c r="I26" s="141"/>
      <c r="J26" s="141"/>
      <c r="K26" s="141"/>
      <c r="L26" s="223">
        <v>6</v>
      </c>
      <c r="M26" s="142"/>
    </row>
    <row r="27" spans="1:18" ht="13.5" customHeight="1" x14ac:dyDescent="0.2">
      <c r="A27" s="762"/>
      <c r="B27" s="141">
        <v>8</v>
      </c>
      <c r="C27" s="348" t="s">
        <v>217</v>
      </c>
      <c r="D27" s="141">
        <v>1</v>
      </c>
      <c r="E27" s="223">
        <v>3</v>
      </c>
      <c r="F27" s="351">
        <v>3</v>
      </c>
      <c r="G27" s="351">
        <v>0.8</v>
      </c>
      <c r="H27" s="351">
        <v>15</v>
      </c>
      <c r="I27" s="141"/>
      <c r="J27" s="141"/>
      <c r="K27" s="141"/>
      <c r="L27" s="223">
        <v>7</v>
      </c>
      <c r="M27" s="142"/>
    </row>
    <row r="28" spans="1:18" ht="13.5" customHeight="1" thickBot="1" x14ac:dyDescent="0.25">
      <c r="A28" s="763"/>
      <c r="B28" s="143">
        <f>B23</f>
        <v>12</v>
      </c>
      <c r="C28" s="143" t="str">
        <f t="shared" ref="C28:D28" si="5">C23</f>
        <v>6M</v>
      </c>
      <c r="D28" s="143">
        <f t="shared" si="5"/>
        <v>1</v>
      </c>
      <c r="E28" s="224">
        <v>4</v>
      </c>
      <c r="F28" s="143">
        <f t="shared" ref="F28:H28" si="6">F23</f>
        <v>3.5</v>
      </c>
      <c r="G28" s="143">
        <f t="shared" si="6"/>
        <v>2.5</v>
      </c>
      <c r="H28" s="143">
        <f t="shared" si="6"/>
        <v>15</v>
      </c>
      <c r="I28" s="143"/>
      <c r="J28" s="143"/>
      <c r="K28" s="143"/>
      <c r="L28" s="224">
        <v>8</v>
      </c>
      <c r="M28" s="144"/>
    </row>
    <row r="29" spans="1:18" ht="13.5" customHeight="1" thickTop="1" x14ac:dyDescent="0.2">
      <c r="A29" s="761" t="str">
        <f>B10</f>
        <v>D</v>
      </c>
      <c r="B29" s="145">
        <f>B17</f>
        <v>5</v>
      </c>
      <c r="C29" s="145" t="str">
        <f t="shared" ref="C29:D29" si="7">C17</f>
        <v>6M</v>
      </c>
      <c r="D29" s="145">
        <f t="shared" si="7"/>
        <v>5</v>
      </c>
      <c r="E29" s="225">
        <v>1</v>
      </c>
      <c r="F29" s="145">
        <f t="shared" ref="F29:H29" si="8">F17</f>
        <v>3</v>
      </c>
      <c r="G29" s="145">
        <f t="shared" si="8"/>
        <v>1.2</v>
      </c>
      <c r="H29" s="145">
        <f t="shared" si="8"/>
        <v>15</v>
      </c>
      <c r="I29" s="145"/>
      <c r="J29" s="145"/>
      <c r="K29" s="145"/>
      <c r="L29" s="222">
        <v>5</v>
      </c>
      <c r="M29" s="140"/>
    </row>
    <row r="30" spans="1:18" ht="13.5" customHeight="1" x14ac:dyDescent="0.2">
      <c r="A30" s="762"/>
      <c r="B30" s="141">
        <f>B19</f>
        <v>6</v>
      </c>
      <c r="C30" s="141" t="str">
        <f t="shared" ref="C30:D31" si="9">C19</f>
        <v>16M</v>
      </c>
      <c r="D30" s="141">
        <v>7</v>
      </c>
      <c r="E30" s="223">
        <v>2</v>
      </c>
      <c r="F30" s="141">
        <f t="shared" ref="F30:H30" si="10">F19</f>
        <v>3</v>
      </c>
      <c r="G30" s="141">
        <f t="shared" si="10"/>
        <v>0.8</v>
      </c>
      <c r="H30" s="141">
        <f t="shared" si="10"/>
        <v>15</v>
      </c>
      <c r="I30" s="141"/>
      <c r="J30" s="141"/>
      <c r="K30" s="141"/>
      <c r="L30" s="223">
        <v>6</v>
      </c>
      <c r="M30" s="142"/>
    </row>
    <row r="31" spans="1:18" ht="13.5" customHeight="1" x14ac:dyDescent="0.2">
      <c r="A31" s="762"/>
      <c r="B31" s="141">
        <f>B20</f>
        <v>11</v>
      </c>
      <c r="C31" s="141" t="str">
        <f t="shared" si="9"/>
        <v>6M</v>
      </c>
      <c r="D31" s="141">
        <f t="shared" si="9"/>
        <v>5</v>
      </c>
      <c r="E31" s="223">
        <v>3</v>
      </c>
      <c r="F31" s="141">
        <f t="shared" ref="F31:H31" si="11">F20</f>
        <v>3.5</v>
      </c>
      <c r="G31" s="141">
        <f t="shared" si="11"/>
        <v>2.5</v>
      </c>
      <c r="H31" s="141">
        <f t="shared" si="11"/>
        <v>15</v>
      </c>
      <c r="I31" s="141"/>
      <c r="J31" s="141"/>
      <c r="K31" s="141"/>
      <c r="L31" s="223">
        <v>7</v>
      </c>
      <c r="M31" s="142"/>
    </row>
    <row r="32" spans="1:18" ht="13.5" customHeight="1" thickBot="1" x14ac:dyDescent="0.25">
      <c r="A32" s="763"/>
      <c r="B32" s="146"/>
      <c r="C32" s="146"/>
      <c r="D32" s="146"/>
      <c r="E32" s="224">
        <v>4</v>
      </c>
      <c r="F32" s="354"/>
      <c r="G32" s="354"/>
      <c r="H32" s="354"/>
      <c r="I32" s="146"/>
      <c r="J32" s="146"/>
      <c r="K32" s="146"/>
      <c r="L32" s="224">
        <v>8</v>
      </c>
      <c r="M32" s="144"/>
    </row>
    <row r="33" spans="1:13" ht="13.5" customHeight="1" thickTop="1" x14ac:dyDescent="0.2">
      <c r="A33" s="761" t="str">
        <f>B11</f>
        <v>E</v>
      </c>
      <c r="B33" s="139"/>
      <c r="C33" s="139"/>
      <c r="D33" s="139"/>
      <c r="E33" s="225">
        <v>1</v>
      </c>
      <c r="F33" s="350"/>
      <c r="G33" s="350"/>
      <c r="H33" s="350"/>
      <c r="I33" s="139"/>
      <c r="J33" s="139"/>
      <c r="K33" s="139"/>
      <c r="L33" s="222">
        <v>5</v>
      </c>
      <c r="M33" s="140"/>
    </row>
    <row r="34" spans="1:13" ht="13.5" customHeight="1" x14ac:dyDescent="0.2">
      <c r="A34" s="762"/>
      <c r="B34" s="141"/>
      <c r="C34" s="141"/>
      <c r="D34" s="141"/>
      <c r="E34" s="223">
        <v>2</v>
      </c>
      <c r="F34" s="351"/>
      <c r="G34" s="351"/>
      <c r="H34" s="351"/>
      <c r="I34" s="141"/>
      <c r="J34" s="141"/>
      <c r="K34" s="141"/>
      <c r="L34" s="223">
        <v>6</v>
      </c>
      <c r="M34" s="142"/>
    </row>
    <row r="35" spans="1:13" ht="13.5" customHeight="1" x14ac:dyDescent="0.2">
      <c r="A35" s="762"/>
      <c r="B35" s="141"/>
      <c r="C35" s="141"/>
      <c r="D35" s="141"/>
      <c r="E35" s="223">
        <v>3</v>
      </c>
      <c r="F35" s="351"/>
      <c r="G35" s="351"/>
      <c r="H35" s="351"/>
      <c r="I35" s="141"/>
      <c r="J35" s="141"/>
      <c r="K35" s="141"/>
      <c r="L35" s="223">
        <v>7</v>
      </c>
      <c r="M35" s="142"/>
    </row>
    <row r="36" spans="1:13" ht="13.5" customHeight="1" thickBot="1" x14ac:dyDescent="0.25">
      <c r="A36" s="763"/>
      <c r="B36" s="143"/>
      <c r="C36" s="143"/>
      <c r="D36" s="143"/>
      <c r="E36" s="224">
        <v>4</v>
      </c>
      <c r="F36" s="352"/>
      <c r="G36" s="352"/>
      <c r="H36" s="352"/>
      <c r="I36" s="143"/>
      <c r="J36" s="143"/>
      <c r="K36" s="143"/>
      <c r="L36" s="224">
        <v>8</v>
      </c>
      <c r="M36" s="144"/>
    </row>
    <row r="37" spans="1:13" ht="13.5" customHeight="1" thickTop="1" x14ac:dyDescent="0.2">
      <c r="A37" s="761" t="str">
        <f>B12</f>
        <v>F</v>
      </c>
      <c r="B37" s="145"/>
      <c r="C37" s="145"/>
      <c r="D37" s="145"/>
      <c r="E37" s="225">
        <v>1</v>
      </c>
      <c r="F37" s="353"/>
      <c r="G37" s="353"/>
      <c r="H37" s="353"/>
      <c r="I37" s="145"/>
      <c r="J37" s="145"/>
      <c r="K37" s="145"/>
      <c r="L37" s="222">
        <v>5</v>
      </c>
      <c r="M37" s="140"/>
    </row>
    <row r="38" spans="1:13" ht="13.5" customHeight="1" x14ac:dyDescent="0.2">
      <c r="A38" s="762"/>
      <c r="B38" s="141"/>
      <c r="C38" s="141"/>
      <c r="D38" s="141"/>
      <c r="E38" s="223">
        <v>2</v>
      </c>
      <c r="F38" s="351"/>
      <c r="G38" s="351"/>
      <c r="H38" s="351"/>
      <c r="I38" s="141"/>
      <c r="J38" s="141"/>
      <c r="K38" s="141"/>
      <c r="L38" s="223">
        <v>6</v>
      </c>
      <c r="M38" s="142"/>
    </row>
    <row r="39" spans="1:13" ht="13.5" customHeight="1" x14ac:dyDescent="0.2">
      <c r="A39" s="762"/>
      <c r="B39" s="141"/>
      <c r="C39" s="141"/>
      <c r="D39" s="141"/>
      <c r="E39" s="223">
        <v>3</v>
      </c>
      <c r="F39" s="351"/>
      <c r="G39" s="351"/>
      <c r="H39" s="351"/>
      <c r="I39" s="141"/>
      <c r="J39" s="141"/>
      <c r="K39" s="141"/>
      <c r="L39" s="223">
        <v>7</v>
      </c>
      <c r="M39" s="142"/>
    </row>
    <row r="40" spans="1:13" ht="13.5" customHeight="1" thickBot="1" x14ac:dyDescent="0.25">
      <c r="A40" s="763"/>
      <c r="B40" s="146"/>
      <c r="C40" s="146"/>
      <c r="D40" s="146"/>
      <c r="E40" s="224">
        <v>4</v>
      </c>
      <c r="F40" s="354"/>
      <c r="G40" s="354"/>
      <c r="H40" s="354"/>
      <c r="I40" s="146"/>
      <c r="J40" s="146"/>
      <c r="K40" s="146"/>
      <c r="L40" s="224">
        <v>8</v>
      </c>
      <c r="M40" s="144"/>
    </row>
    <row r="41" spans="1:13" ht="13.5" customHeight="1" thickTop="1" x14ac:dyDescent="0.2">
      <c r="A41" s="761" t="str">
        <f>B13</f>
        <v>G</v>
      </c>
      <c r="B41" s="139"/>
      <c r="C41" s="139"/>
      <c r="D41" s="139"/>
      <c r="E41" s="225">
        <v>1</v>
      </c>
      <c r="F41" s="350"/>
      <c r="G41" s="350"/>
      <c r="H41" s="350"/>
      <c r="I41" s="139"/>
      <c r="J41" s="139"/>
      <c r="K41" s="139"/>
      <c r="L41" s="222">
        <v>5</v>
      </c>
      <c r="M41" s="140"/>
    </row>
    <row r="42" spans="1:13" ht="13.5" customHeight="1" x14ac:dyDescent="0.2">
      <c r="A42" s="762"/>
      <c r="B42" s="141"/>
      <c r="C42" s="141"/>
      <c r="D42" s="141"/>
      <c r="E42" s="223">
        <v>2</v>
      </c>
      <c r="F42" s="351"/>
      <c r="G42" s="351"/>
      <c r="H42" s="351"/>
      <c r="I42" s="141"/>
      <c r="J42" s="141"/>
      <c r="K42" s="141"/>
      <c r="L42" s="223">
        <v>6</v>
      </c>
      <c r="M42" s="142"/>
    </row>
    <row r="43" spans="1:13" ht="13.5" customHeight="1" x14ac:dyDescent="0.2">
      <c r="A43" s="762"/>
      <c r="B43" s="141"/>
      <c r="C43" s="141"/>
      <c r="D43" s="141"/>
      <c r="E43" s="223">
        <v>3</v>
      </c>
      <c r="F43" s="351"/>
      <c r="G43" s="351"/>
      <c r="H43" s="351"/>
      <c r="I43" s="141"/>
      <c r="J43" s="141"/>
      <c r="K43" s="141"/>
      <c r="L43" s="223">
        <v>7</v>
      </c>
      <c r="M43" s="142"/>
    </row>
    <row r="44" spans="1:13" ht="13.5" customHeight="1" thickBot="1" x14ac:dyDescent="0.25">
      <c r="A44" s="763"/>
      <c r="B44" s="143"/>
      <c r="C44" s="143"/>
      <c r="D44" s="143"/>
      <c r="E44" s="224">
        <v>4</v>
      </c>
      <c r="F44" s="352"/>
      <c r="G44" s="352"/>
      <c r="H44" s="352"/>
      <c r="I44" s="143"/>
      <c r="J44" s="143"/>
      <c r="K44" s="143"/>
      <c r="L44" s="224">
        <v>8</v>
      </c>
      <c r="M44" s="144"/>
    </row>
    <row r="45" spans="1:13" ht="6" customHeight="1" thickTop="1" x14ac:dyDescent="0.2">
      <c r="A45" s="148"/>
      <c r="B45" s="148"/>
      <c r="C45" s="148"/>
      <c r="D45" s="148"/>
      <c r="E45" s="148"/>
      <c r="F45" s="148"/>
      <c r="G45" s="148"/>
      <c r="H45" s="148"/>
      <c r="I45" s="148"/>
      <c r="J45" s="148"/>
      <c r="K45" s="148"/>
      <c r="L45" s="148"/>
      <c r="M45" s="148"/>
    </row>
    <row r="46" spans="1:13" ht="18" customHeight="1" thickBot="1" x14ac:dyDescent="0.3">
      <c r="A46" s="751" t="s">
        <v>219</v>
      </c>
      <c r="B46" s="751"/>
      <c r="C46" s="751"/>
      <c r="D46" s="751"/>
      <c r="E46" s="751"/>
      <c r="F46" s="751"/>
      <c r="G46" s="751"/>
      <c r="H46" s="751"/>
      <c r="I46" s="751"/>
      <c r="J46" s="751"/>
      <c r="K46" s="751"/>
      <c r="L46" s="751"/>
      <c r="M46" s="751"/>
    </row>
    <row r="47" spans="1:13" ht="15.75" customHeight="1" thickTop="1" x14ac:dyDescent="0.25">
      <c r="A47" s="426" t="s">
        <v>220</v>
      </c>
      <c r="B47" s="427" t="s">
        <v>49</v>
      </c>
      <c r="C47" s="749" t="s">
        <v>63</v>
      </c>
      <c r="D47" s="749"/>
      <c r="E47" s="749"/>
      <c r="F47" s="749"/>
      <c r="G47" s="749"/>
      <c r="H47" s="749"/>
      <c r="I47" s="749"/>
      <c r="J47" s="749"/>
      <c r="K47" s="749"/>
      <c r="L47" s="749"/>
      <c r="M47" s="750"/>
    </row>
    <row r="48" spans="1:13" ht="15.75" customHeight="1" x14ac:dyDescent="0.2">
      <c r="A48" s="147" t="s">
        <v>221</v>
      </c>
      <c r="B48" s="219" t="str">
        <f>C17</f>
        <v>6M</v>
      </c>
      <c r="C48" s="744" t="s">
        <v>222</v>
      </c>
      <c r="D48" s="745"/>
      <c r="E48" s="745"/>
      <c r="F48" s="745"/>
      <c r="G48" s="745"/>
      <c r="H48" s="745"/>
      <c r="I48" s="745"/>
      <c r="J48" s="745"/>
      <c r="K48" s="745"/>
      <c r="L48" s="745"/>
      <c r="M48" s="746"/>
    </row>
    <row r="49" spans="1:13" ht="32.25" customHeight="1" x14ac:dyDescent="0.2">
      <c r="A49" s="147">
        <f>B19</f>
        <v>6</v>
      </c>
      <c r="B49" s="219" t="str">
        <f t="shared" ref="B49:B53" si="12">IF(A49="","",VLOOKUP(A49,B$17:C$44,2,FALSE))</f>
        <v>16M</v>
      </c>
      <c r="C49" s="753" t="s">
        <v>223</v>
      </c>
      <c r="D49" s="745"/>
      <c r="E49" s="745"/>
      <c r="F49" s="745"/>
      <c r="G49" s="745"/>
      <c r="H49" s="745"/>
      <c r="I49" s="745"/>
      <c r="J49" s="745"/>
      <c r="K49" s="745"/>
      <c r="L49" s="745"/>
      <c r="M49" s="746"/>
    </row>
    <row r="50" spans="1:13" ht="15.75" customHeight="1" x14ac:dyDescent="0.2">
      <c r="A50" s="147">
        <v>2</v>
      </c>
      <c r="B50" s="219" t="str">
        <f>C18</f>
        <v>1M</v>
      </c>
      <c r="C50" s="753" t="s">
        <v>224</v>
      </c>
      <c r="D50" s="745"/>
      <c r="E50" s="745"/>
      <c r="F50" s="745"/>
      <c r="G50" s="745"/>
      <c r="H50" s="745"/>
      <c r="I50" s="745"/>
      <c r="J50" s="745"/>
      <c r="K50" s="745"/>
      <c r="L50" s="745"/>
      <c r="M50" s="746"/>
    </row>
    <row r="51" spans="1:13" ht="29.25" customHeight="1" x14ac:dyDescent="0.2">
      <c r="A51" s="147" t="s">
        <v>225</v>
      </c>
      <c r="B51" s="219" t="s">
        <v>214</v>
      </c>
      <c r="C51" s="744" t="s">
        <v>226</v>
      </c>
      <c r="D51" s="745"/>
      <c r="E51" s="745"/>
      <c r="F51" s="745"/>
      <c r="G51" s="745"/>
      <c r="H51" s="745"/>
      <c r="I51" s="745"/>
      <c r="J51" s="745"/>
      <c r="K51" s="745"/>
      <c r="L51" s="745"/>
      <c r="M51" s="746"/>
    </row>
    <row r="52" spans="1:13" ht="15.75" customHeight="1" x14ac:dyDescent="0.2">
      <c r="A52" s="147">
        <v>4</v>
      </c>
      <c r="B52" s="219" t="s">
        <v>216</v>
      </c>
      <c r="C52" s="744" t="str">
        <f>C50</f>
        <v>Modify table to provide time delay call</v>
      </c>
      <c r="D52" s="745"/>
      <c r="E52" s="745"/>
      <c r="F52" s="745"/>
      <c r="G52" s="745"/>
      <c r="H52" s="745"/>
      <c r="I52" s="745"/>
      <c r="J52" s="745"/>
      <c r="K52" s="745"/>
      <c r="L52" s="745"/>
      <c r="M52" s="746"/>
    </row>
    <row r="53" spans="1:13" ht="15.75" customHeight="1" thickBot="1" x14ac:dyDescent="0.25">
      <c r="A53" s="218">
        <f>B27</f>
        <v>8</v>
      </c>
      <c r="B53" s="220" t="str">
        <f t="shared" si="12"/>
        <v>16M</v>
      </c>
      <c r="C53" s="747" t="s">
        <v>227</v>
      </c>
      <c r="D53" s="747"/>
      <c r="E53" s="747"/>
      <c r="F53" s="747"/>
      <c r="G53" s="747"/>
      <c r="H53" s="747"/>
      <c r="I53" s="747"/>
      <c r="J53" s="747"/>
      <c r="K53" s="747"/>
      <c r="L53" s="747"/>
      <c r="M53" s="748"/>
    </row>
    <row r="54" spans="1:13" ht="15.75" customHeight="1" thickTop="1" x14ac:dyDescent="0.25">
      <c r="A54" s="135"/>
      <c r="B54" s="752"/>
      <c r="C54" s="752"/>
      <c r="D54" s="752"/>
      <c r="E54" s="752"/>
      <c r="F54" s="752"/>
      <c r="G54" s="752"/>
      <c r="H54" s="752"/>
      <c r="I54" s="752"/>
      <c r="J54" s="752"/>
      <c r="K54" s="752"/>
      <c r="L54" s="752"/>
      <c r="M54" s="752"/>
    </row>
    <row r="55" spans="1:13" ht="15.75" customHeight="1" thickBot="1" x14ac:dyDescent="0.3">
      <c r="A55" s="751" t="s">
        <v>228</v>
      </c>
      <c r="B55" s="751"/>
      <c r="C55" s="751"/>
      <c r="D55" s="751"/>
      <c r="E55" s="751"/>
      <c r="F55" s="751"/>
      <c r="G55" s="751"/>
      <c r="H55" s="751"/>
      <c r="I55" s="751"/>
      <c r="J55" s="751"/>
      <c r="K55" s="751"/>
      <c r="L55" s="751"/>
      <c r="M55" s="751"/>
    </row>
    <row r="56" spans="1:13" ht="15.75" customHeight="1" thickTop="1" x14ac:dyDescent="0.25">
      <c r="A56" s="188" t="s">
        <v>82</v>
      </c>
      <c r="B56" s="187" t="s">
        <v>62</v>
      </c>
      <c r="C56" s="749" t="s">
        <v>63</v>
      </c>
      <c r="D56" s="749"/>
      <c r="E56" s="749"/>
      <c r="F56" s="749"/>
      <c r="G56" s="749"/>
      <c r="H56" s="749"/>
      <c r="I56" s="749"/>
      <c r="J56" s="749"/>
      <c r="K56" s="749"/>
      <c r="L56" s="749"/>
      <c r="M56" s="750"/>
    </row>
    <row r="57" spans="1:13" ht="15.75" customHeight="1" x14ac:dyDescent="0.2">
      <c r="A57" s="355" t="s">
        <v>44</v>
      </c>
      <c r="B57" s="356">
        <v>7</v>
      </c>
      <c r="C57" s="744" t="s">
        <v>229</v>
      </c>
      <c r="D57" s="745"/>
      <c r="E57" s="745"/>
      <c r="F57" s="745"/>
      <c r="G57" s="745"/>
      <c r="H57" s="745"/>
      <c r="I57" s="745"/>
      <c r="J57" s="745"/>
      <c r="K57" s="745"/>
      <c r="L57" s="745"/>
      <c r="M57" s="746"/>
    </row>
    <row r="58" spans="1:13" ht="15.75" customHeight="1" x14ac:dyDescent="0.2">
      <c r="A58" s="355" t="s">
        <v>45</v>
      </c>
      <c r="B58" s="356" t="s">
        <v>230</v>
      </c>
      <c r="C58" s="744" t="s">
        <v>231</v>
      </c>
      <c r="D58" s="745"/>
      <c r="E58" s="745"/>
      <c r="F58" s="745"/>
      <c r="G58" s="745"/>
      <c r="H58" s="745"/>
      <c r="I58" s="745"/>
      <c r="J58" s="745"/>
      <c r="K58" s="745"/>
      <c r="L58" s="745"/>
      <c r="M58" s="746"/>
    </row>
    <row r="59" spans="1:13" ht="15.75" customHeight="1" x14ac:dyDescent="0.2">
      <c r="A59" s="361" t="s">
        <v>45</v>
      </c>
      <c r="B59" s="356">
        <v>12</v>
      </c>
      <c r="C59" s="744" t="s">
        <v>232</v>
      </c>
      <c r="D59" s="745"/>
      <c r="E59" s="745"/>
      <c r="F59" s="745"/>
      <c r="G59" s="745"/>
      <c r="H59" s="745"/>
      <c r="I59" s="745"/>
      <c r="J59" s="745"/>
      <c r="K59" s="745"/>
      <c r="L59" s="745"/>
      <c r="M59" s="746"/>
    </row>
    <row r="60" spans="1:13" ht="15.75" customHeight="1" x14ac:dyDescent="0.2">
      <c r="A60" s="366" t="s">
        <v>50</v>
      </c>
      <c r="B60" s="356">
        <v>3</v>
      </c>
      <c r="C60" s="745" t="s">
        <v>233</v>
      </c>
      <c r="D60" s="745"/>
      <c r="E60" s="745"/>
      <c r="F60" s="745"/>
      <c r="G60" s="745"/>
      <c r="H60" s="745"/>
      <c r="I60" s="745"/>
      <c r="J60" s="745"/>
      <c r="K60" s="745"/>
      <c r="L60" s="745"/>
      <c r="M60" s="746"/>
    </row>
    <row r="61" spans="1:13" ht="15.75" customHeight="1" x14ac:dyDescent="0.2">
      <c r="A61" s="367" t="s">
        <v>46</v>
      </c>
      <c r="B61" s="368" t="s">
        <v>234</v>
      </c>
      <c r="C61" s="754" t="s">
        <v>235</v>
      </c>
      <c r="D61" s="745"/>
      <c r="E61" s="745"/>
      <c r="F61" s="745"/>
      <c r="G61" s="745"/>
      <c r="H61" s="745"/>
      <c r="I61" s="745"/>
      <c r="J61" s="745"/>
      <c r="K61" s="745"/>
      <c r="L61" s="745"/>
      <c r="M61" s="746"/>
    </row>
    <row r="62" spans="1:13" ht="15.75" customHeight="1" thickBot="1" x14ac:dyDescent="0.25">
      <c r="A62" s="369" t="s">
        <v>46</v>
      </c>
      <c r="B62" s="370">
        <v>9</v>
      </c>
      <c r="C62" s="747" t="s">
        <v>236</v>
      </c>
      <c r="D62" s="747"/>
      <c r="E62" s="747"/>
      <c r="F62" s="747"/>
      <c r="G62" s="747"/>
      <c r="H62" s="747"/>
      <c r="I62" s="747"/>
      <c r="J62" s="747"/>
      <c r="K62" s="747"/>
      <c r="L62" s="747"/>
      <c r="M62" s="748"/>
    </row>
    <row r="63" spans="1:13" ht="15.75" customHeight="1" thickTop="1" x14ac:dyDescent="0.2"/>
    <row r="64" spans="1: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sheetData>
  <mergeCells count="43">
    <mergeCell ref="E2:F2"/>
    <mergeCell ref="B2:C2"/>
    <mergeCell ref="A21:A24"/>
    <mergeCell ref="A25:A28"/>
    <mergeCell ref="A29:A32"/>
    <mergeCell ref="H15:H16"/>
    <mergeCell ref="C47:M47"/>
    <mergeCell ref="A41:A44"/>
    <mergeCell ref="I15:I16"/>
    <mergeCell ref="C15:C16"/>
    <mergeCell ref="A33:A36"/>
    <mergeCell ref="A37:A40"/>
    <mergeCell ref="C1:G1"/>
    <mergeCell ref="B4:K4"/>
    <mergeCell ref="K1:M1"/>
    <mergeCell ref="K2:M2"/>
    <mergeCell ref="A46:M46"/>
    <mergeCell ref="A15:A16"/>
    <mergeCell ref="B15:B16"/>
    <mergeCell ref="E15:E16"/>
    <mergeCell ref="D15:D16"/>
    <mergeCell ref="J15:J16"/>
    <mergeCell ref="A17:A20"/>
    <mergeCell ref="K15:K16"/>
    <mergeCell ref="L15:L16"/>
    <mergeCell ref="M15:M16"/>
    <mergeCell ref="F15:F16"/>
    <mergeCell ref="G15:G16"/>
    <mergeCell ref="C58:M58"/>
    <mergeCell ref="C59:M59"/>
    <mergeCell ref="C60:M60"/>
    <mergeCell ref="C62:M62"/>
    <mergeCell ref="C48:M48"/>
    <mergeCell ref="C51:M51"/>
    <mergeCell ref="C52:M52"/>
    <mergeCell ref="C53:M53"/>
    <mergeCell ref="C56:M56"/>
    <mergeCell ref="C57:M57"/>
    <mergeCell ref="A55:M55"/>
    <mergeCell ref="B54:M54"/>
    <mergeCell ref="C50:M50"/>
    <mergeCell ref="C49:M49"/>
    <mergeCell ref="C61:M61"/>
  </mergeCells>
  <phoneticPr fontId="0" type="noConversion"/>
  <conditionalFormatting sqref="E29:E32">
    <cfRule type="expression" dxfId="208" priority="5" stopIfTrue="1">
      <formula>$A$29=""</formula>
    </cfRule>
  </conditionalFormatting>
  <conditionalFormatting sqref="E25:E28">
    <cfRule type="expression" dxfId="207" priority="4" stopIfTrue="1">
      <formula>$A$25=""</formula>
    </cfRule>
  </conditionalFormatting>
  <conditionalFormatting sqref="E33:E36">
    <cfRule type="expression" dxfId="206" priority="3" stopIfTrue="1">
      <formula>$A$29=""</formula>
    </cfRule>
  </conditionalFormatting>
  <conditionalFormatting sqref="E37:E40">
    <cfRule type="expression" dxfId="205" priority="2" stopIfTrue="1">
      <formula>$A$29=""</formula>
    </cfRule>
  </conditionalFormatting>
  <conditionalFormatting sqref="E41:E44">
    <cfRule type="expression" dxfId="204" priority="1" stopIfTrue="1">
      <formula>$A$29=""</formula>
    </cfRule>
  </conditionalFormatting>
  <dataValidations xWindow="651" yWindow="758" count="1">
    <dataValidation type="list" allowBlank="1" showInputMessage="1" showErrorMessage="1" promptTitle="approach" prompt="Select approach No. 1 - 4" sqref="M17:M44" xr:uid="{00000000-0002-0000-0700-000000000000}">
      <formula1>"1,2,3,4"</formula1>
    </dataValidation>
  </dataValidations>
  <pageMargins left="0.39370078740157483" right="0.39370078740157483" top="0.19685039370078741" bottom="0.19685039370078741" header="0.51181102362204722" footer="0.31496062992125984"/>
  <pageSetup paperSize="9" scale="95" orientation="portrait" r:id="rId1"/>
  <headerFooter alignWithMargins="0">
    <oddFooter>&amp;L&amp;A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1">
    <pageSetUpPr fitToPage="1"/>
  </sheetPr>
  <dimension ref="A1:O94"/>
  <sheetViews>
    <sheetView showGridLines="0" topLeftCell="A4" zoomScaleNormal="100" zoomScaleSheetLayoutView="100" workbookViewId="0">
      <selection activeCell="P36" sqref="P36"/>
    </sheetView>
  </sheetViews>
  <sheetFormatPr defaultRowHeight="12.75" x14ac:dyDescent="0.2"/>
  <cols>
    <col min="1" max="1" width="6.42578125" customWidth="1"/>
    <col min="2" max="2" width="7.7109375" customWidth="1"/>
    <col min="3" max="3" width="8.28515625" customWidth="1"/>
    <col min="4" max="4" width="10.42578125" customWidth="1"/>
    <col min="6" max="8" width="7.7109375" customWidth="1"/>
    <col min="9" max="9" width="8.5703125" customWidth="1"/>
    <col min="10" max="10" width="7.7109375" customWidth="1"/>
    <col min="11" max="11" width="13.85546875" customWidth="1"/>
    <col min="12" max="12" width="4.85546875" customWidth="1"/>
  </cols>
  <sheetData>
    <row r="1" spans="1:15" ht="15" x14ac:dyDescent="0.25">
      <c r="A1" s="509" t="s">
        <v>2</v>
      </c>
      <c r="B1" s="510"/>
      <c r="C1" s="511" t="str">
        <f>'1 - Cover'!C4</f>
        <v>Naylor / Galloway</v>
      </c>
      <c r="D1" s="511"/>
      <c r="E1" s="511"/>
      <c r="F1" s="511"/>
      <c r="G1" s="265"/>
      <c r="H1" s="265"/>
      <c r="I1" s="256" t="s">
        <v>4</v>
      </c>
      <c r="J1" s="515">
        <f>'1 - Cover'!H4</f>
        <v>36</v>
      </c>
      <c r="K1" s="515"/>
      <c r="L1" s="531"/>
    </row>
    <row r="2" spans="1:15" ht="15.75" thickBot="1" x14ac:dyDescent="0.3">
      <c r="A2" s="234" t="s">
        <v>5</v>
      </c>
      <c r="B2" s="805">
        <f>'1 - Cover'!B5</f>
        <v>43546</v>
      </c>
      <c r="C2" s="806"/>
      <c r="D2" s="393"/>
      <c r="E2" s="628" t="s">
        <v>6</v>
      </c>
      <c r="F2" s="628"/>
      <c r="G2" s="393" t="str">
        <f>'1 - Cover'!E5</f>
        <v>3d</v>
      </c>
      <c r="H2" s="428"/>
      <c r="I2" s="236" t="s">
        <v>41</v>
      </c>
      <c r="J2" s="532" t="str">
        <f>'1 - Cover'!H5</f>
        <v>R Thomson</v>
      </c>
      <c r="K2" s="532"/>
      <c r="L2" s="533"/>
    </row>
    <row r="3" spans="1:15" ht="13.5" customHeight="1" x14ac:dyDescent="0.25">
      <c r="A3" s="23"/>
      <c r="B3" s="23"/>
      <c r="C3" s="313"/>
      <c r="D3" s="313"/>
      <c r="E3" s="313"/>
      <c r="F3" s="313"/>
      <c r="G3" s="313"/>
      <c r="H3" s="313"/>
      <c r="I3" s="24"/>
      <c r="J3" s="313"/>
      <c r="K3" s="313"/>
      <c r="L3" s="313"/>
    </row>
    <row r="4" spans="1:15" ht="15" x14ac:dyDescent="0.25">
      <c r="A4" s="23"/>
      <c r="B4" s="23"/>
      <c r="C4" s="313"/>
      <c r="D4" s="313"/>
      <c r="E4" s="313"/>
      <c r="F4" s="313"/>
      <c r="G4" s="313"/>
      <c r="I4" s="24"/>
      <c r="J4" s="313"/>
      <c r="K4" s="313"/>
      <c r="L4" s="313"/>
    </row>
    <row r="5" spans="1:15" ht="15" x14ac:dyDescent="0.25">
      <c r="A5" s="23"/>
      <c r="B5" s="23"/>
      <c r="C5" s="313"/>
      <c r="D5" s="313"/>
      <c r="E5" s="313"/>
      <c r="F5" s="313"/>
      <c r="G5" s="313"/>
      <c r="H5" s="313"/>
      <c r="I5" s="24"/>
      <c r="J5" s="313"/>
      <c r="K5" s="313"/>
      <c r="L5" s="313"/>
    </row>
    <row r="6" spans="1:15" ht="18" x14ac:dyDescent="0.25">
      <c r="A6" s="624" t="s">
        <v>237</v>
      </c>
      <c r="B6" s="624"/>
      <c r="C6" s="624"/>
      <c r="D6" s="624"/>
      <c r="E6" s="624"/>
      <c r="F6" s="624"/>
      <c r="G6" s="624"/>
      <c r="H6" s="624"/>
      <c r="I6" s="624"/>
      <c r="J6" s="624"/>
      <c r="K6" s="624"/>
      <c r="L6" s="624"/>
    </row>
    <row r="7" spans="1:15" ht="13.5" thickBot="1" x14ac:dyDescent="0.25">
      <c r="A7" s="1"/>
    </row>
    <row r="8" spans="1:15" ht="13.5" customHeight="1" thickTop="1" x14ac:dyDescent="0.2">
      <c r="A8" s="135"/>
      <c r="B8" s="777" t="s">
        <v>238</v>
      </c>
      <c r="C8" s="779" t="s">
        <v>239</v>
      </c>
      <c r="D8" s="779" t="s">
        <v>240</v>
      </c>
      <c r="E8" s="779" t="s">
        <v>241</v>
      </c>
      <c r="F8" s="779" t="s">
        <v>242</v>
      </c>
      <c r="G8" s="779" t="s">
        <v>126</v>
      </c>
      <c r="H8" s="779" t="s">
        <v>243</v>
      </c>
      <c r="I8" s="779" t="s">
        <v>244</v>
      </c>
      <c r="J8" s="779" t="s">
        <v>245</v>
      </c>
      <c r="K8" s="784" t="s">
        <v>246</v>
      </c>
      <c r="L8" s="135"/>
    </row>
    <row r="9" spans="1:15" ht="28.5" customHeight="1" thickBot="1" x14ac:dyDescent="0.25">
      <c r="A9" s="135"/>
      <c r="B9" s="778"/>
      <c r="C9" s="780"/>
      <c r="D9" s="780"/>
      <c r="E9" s="780"/>
      <c r="F9" s="780"/>
      <c r="G9" s="780"/>
      <c r="H9" s="780"/>
      <c r="I9" s="780"/>
      <c r="J9" s="780"/>
      <c r="K9" s="785"/>
      <c r="L9" s="135"/>
    </row>
    <row r="10" spans="1:15" ht="18" customHeight="1" thickTop="1" x14ac:dyDescent="0.2">
      <c r="A10" s="135"/>
      <c r="B10" s="272" t="str">
        <f>IF(COUNTIF('3 - Signal Group Info'!$A$7:$A$22,"P1*")+COUNTIF('3 - Signal Group Info'!$J$7:$J$22,"P1*")&gt;0,"P1","")</f>
        <v>P1</v>
      </c>
      <c r="C10" s="207" t="str">
        <f>IF(B10="","",IF(ISNUMBER(MATCH(B10&amp;"*",'3 - Signal Group Info'!$A$7:$A$22,0)),VLOOKUP(B10&amp;"*",'3 - Signal Group Info'!$A$7:$I$22,9,FALSE),IF(ISNUMBER(MATCH(B10&amp;"*",'3 - Signal Group Info'!$J$7:$J$22,0)),VLOOKUP(B10&amp;"*",'3 - Signal Group Info'!$J$7:$R$22,9,FALSE),"")))</f>
        <v>PD23M</v>
      </c>
      <c r="D10" s="216" t="str">
        <f>VLOOKUP(B10,Lists!I2:K17,3,FALSE)</f>
        <v>B/C</v>
      </c>
      <c r="E10" s="136" t="s">
        <v>44</v>
      </c>
      <c r="F10" s="207" t="str">
        <f>IF($B10="","",VLOOKUP($B10,Lists!$I$2:$L$17,4,FALSE))</f>
        <v>16</v>
      </c>
      <c r="G10" s="137"/>
      <c r="H10" s="157">
        <f>IF($B10="","",'11 - All Red'!J8)</f>
        <v>6</v>
      </c>
      <c r="I10" s="158">
        <f>IF($B10="","",'11 - All Red'!K8)</f>
        <v>9.3333333333333339</v>
      </c>
      <c r="J10" s="159">
        <f>IF($B10="","",'11 - All Red'!L8)</f>
        <v>4</v>
      </c>
      <c r="K10" s="174" t="str">
        <f t="shared" ref="K10" si="0">IF(OR(B30="Y",C30="Y"),"Y",IF(OR(B30="N",C30="N"),"N"," "))</f>
        <v>Y</v>
      </c>
      <c r="L10" s="135"/>
    </row>
    <row r="11" spans="1:15" ht="18" customHeight="1" x14ac:dyDescent="0.2">
      <c r="A11" s="135"/>
      <c r="B11" s="272" t="str">
        <f>IF(COUNTIF('3 - Signal Group Info'!$A$7:$A$22,"P2*")+COUNTIF('3 - Signal Group Info'!$J$7:$J$22,"P2*")&gt;0,"P2","")</f>
        <v>P2</v>
      </c>
      <c r="C11" s="207" t="str">
        <f>IF(B11="","",IF(ISNUMBER(MATCH(B11&amp;"*",'3 - Signal Group Info'!$A$7:$A$22,0)),VLOOKUP(B11&amp;"*",'3 - Signal Group Info'!$A$7:$I$22,9,FALSE),IF(ISNUMBER(MATCH(B11&amp;"*",'3 - Signal Group Info'!$J$7:$J$22,0)),VLOOKUP(B11&amp;"*",'3 - Signal Group Info'!$J$7:$R$22,9,FALSE),"")))</f>
        <v>PD1</v>
      </c>
      <c r="D11" s="216" t="str">
        <f>VLOOKUP(B11,Lists!I3:K18,3,FALSE)</f>
        <v>C</v>
      </c>
      <c r="E11" s="136" t="s">
        <v>44</v>
      </c>
      <c r="F11" s="207" t="str">
        <f>IF($B11="","",VLOOKUP($B11,Lists!$I$2:$L$17,4,FALSE))</f>
        <v>15</v>
      </c>
      <c r="G11" s="137"/>
      <c r="H11" s="160">
        <f>IF($B11="","",'11 - All Red'!J9)</f>
        <v>6</v>
      </c>
      <c r="I11" s="158">
        <f>IF($B11="","",'11 - All Red'!K9)</f>
        <v>12.666666666666668</v>
      </c>
      <c r="J11" s="159">
        <f>IF($B11="","",'11 - All Red'!L9)</f>
        <v>4</v>
      </c>
      <c r="K11" s="174" t="str">
        <f>IF(OR(B32="Y",C32="Y"),"Y",IF(OR(B32="N",C32="N"),"N"," "))</f>
        <v>Y</v>
      </c>
      <c r="L11" s="135"/>
      <c r="O11" s="313"/>
    </row>
    <row r="12" spans="1:15" ht="18" customHeight="1" x14ac:dyDescent="0.2">
      <c r="A12" s="135"/>
      <c r="B12" s="272" t="str">
        <f>IF(COUNTIF('3 - Signal Group Info'!$A$7:$A$22,"P3*")+COUNTIF('3 - Signal Group Info'!$J$7:$J$22,"P3*")&gt;0,"P3","")</f>
        <v>P3</v>
      </c>
      <c r="C12" s="207" t="str">
        <f>IF(B12="","",IF(ISNUMBER(MATCH(B12&amp;"*",'3 - Signal Group Info'!$A$7:$A$22,0)),VLOOKUP(B12&amp;"*",'3 - Signal Group Info'!$A$7:$I$22,9,FALSE),IF(ISNUMBER(MATCH(B12&amp;"*",'3 - Signal Group Info'!$J$7:$J$22,0)),VLOOKUP(B12&amp;"*",'3 - Signal Group Info'!$J$7:$R$22,9,FALSE),"")))</f>
        <v>PD2</v>
      </c>
      <c r="D12" s="216" t="str">
        <f>VLOOKUP(B12,Lists!I4:K19,3,FALSE)</f>
        <v>A</v>
      </c>
      <c r="E12" s="136" t="s">
        <v>50</v>
      </c>
      <c r="F12" s="207" t="str">
        <f>IF($B12="","",VLOOKUP($B12,Lists!$I$2:$L$17,4,FALSE))</f>
        <v>14</v>
      </c>
      <c r="G12" s="137"/>
      <c r="H12" s="160">
        <f>IF($B12="","",'11 - All Red'!J10)</f>
        <v>6</v>
      </c>
      <c r="I12" s="158">
        <f>IF($B12="","",'11 - All Red'!K10)</f>
        <v>9</v>
      </c>
      <c r="J12" s="159">
        <f>IF($B12="","",'11 - All Red'!L10)</f>
        <v>3.5</v>
      </c>
      <c r="K12" s="174" t="str">
        <f>IF(OR(B34="Y",C34="Y"),"Y",IF(OR(B34="N",C34="N"),"N"," "))</f>
        <v>Y</v>
      </c>
      <c r="L12" s="135"/>
    </row>
    <row r="13" spans="1:15" ht="18" customHeight="1" x14ac:dyDescent="0.2">
      <c r="A13" s="135"/>
      <c r="B13" s="272" t="str">
        <f>IF(COUNTIF('3 - Signal Group Info'!$A$7:$A$22,"P4*")+COUNTIF('3 - Signal Group Info'!$J$7:$J$22,"P4*")&gt;0,"P4","")</f>
        <v>P4</v>
      </c>
      <c r="C13" s="207" t="str">
        <f>IF(B13="","",IF(ISNUMBER(MATCH(B13&amp;"*",'3 - Signal Group Info'!$A$7:$A$22,0)),VLOOKUP(B13&amp;"*",'3 - Signal Group Info'!$A$7:$I$22,9,FALSE),IF(ISNUMBER(MATCH(B13&amp;"*",'3 - Signal Group Info'!$J$7:$J$22,0)),VLOOKUP(B13&amp;"*",'3 - Signal Group Info'!$J$7:$R$22,9,FALSE),"")))</f>
        <v>PD22M</v>
      </c>
      <c r="D13" s="216" t="str">
        <f>VLOOKUP(B13,Lists!I5:K20,3,FALSE)</f>
        <v>A/D</v>
      </c>
      <c r="E13" s="136" t="s">
        <v>50</v>
      </c>
      <c r="F13" s="207" t="str">
        <f>IF($B13="","",VLOOKUP($B13,Lists!$I$2:$L$17,4,FALSE))</f>
        <v>13</v>
      </c>
      <c r="G13" s="137"/>
      <c r="H13" s="160">
        <f>IF($B13="","",'11 - All Red'!J11)</f>
        <v>6</v>
      </c>
      <c r="I13" s="158">
        <f>IF($B13="","",'11 - All Red'!K11)</f>
        <v>10.666666666666668</v>
      </c>
      <c r="J13" s="159">
        <f>IF($B13="","",'11 - All Red'!L11)</f>
        <v>3.5</v>
      </c>
      <c r="K13" s="174" t="str">
        <f>IF(OR(B36="Y",C36="Y"),"Y",IF(OR(B36="N",C36="N"),"N"," "))</f>
        <v>Y</v>
      </c>
      <c r="L13" s="135"/>
    </row>
    <row r="14" spans="1:15" ht="18" customHeight="1" x14ac:dyDescent="0.2">
      <c r="A14" s="135"/>
      <c r="B14" s="272" t="str">
        <f>IF(COUNTIF('3 - Signal Group Info'!$A$7:$A$22,"P5*")+COUNTIF('3 - Signal Group Info'!$J$7:$J$22,"P5*")&gt;0,"P5","")</f>
        <v/>
      </c>
      <c r="C14" s="207" t="str">
        <f>IF(B14="","",IF(ISNUMBER(MATCH(B14&amp;"*",'3 - Signal Group Info'!$A$7:$A$22,0)),VLOOKUP(B14&amp;"*",'3 - Signal Group Info'!$A$7:$I$22,9,FALSE),IF(ISNUMBER(MATCH(B14&amp;"*",'3 - Signal Group Info'!$J$7:$J$22,0)),VLOOKUP(B14&amp;"*",'3 - Signal Group Info'!$J$7:$R$22,9,FALSE),"")))</f>
        <v/>
      </c>
      <c r="D14" s="216" t="str">
        <f>VLOOKUP(B14,Lists!I6:K21,3,FALSE)</f>
        <v/>
      </c>
      <c r="E14" s="136"/>
      <c r="F14" s="207" t="str">
        <f>IF($B14="","",VLOOKUP($B14,Lists!$I$2:$L$17,4,FALSE))</f>
        <v/>
      </c>
      <c r="G14" s="137"/>
      <c r="H14" s="160" t="str">
        <f>IF($B14="","",'11 - All Red'!J12)</f>
        <v/>
      </c>
      <c r="I14" s="158" t="str">
        <f>IF($B14="","",'11 - All Red'!K12)</f>
        <v/>
      </c>
      <c r="J14" s="159" t="str">
        <f>IF($B14="","",'11 - All Red'!L12)</f>
        <v/>
      </c>
      <c r="K14" s="174" t="str">
        <f>IF(OR(B38="Y",C38="Y"),"Y",IF(OR(B38="N",C38="N"),"N"," "))</f>
        <v xml:space="preserve"> </v>
      </c>
      <c r="L14" s="135"/>
    </row>
    <row r="15" spans="1:15" ht="18" customHeight="1" x14ac:dyDescent="0.2">
      <c r="A15" s="135"/>
      <c r="B15" s="272" t="str">
        <f>IF(COUNTIF('3 - Signal Group Info'!$A$7:$A$22,"P6*")+COUNTIF('3 - Signal Group Info'!$J$7:$J$22,"P6*")&gt;0,"P6","")</f>
        <v/>
      </c>
      <c r="C15" s="207" t="str">
        <f>IF(B15="","",IF(ISNUMBER(MATCH(B15&amp;"*",'3 - Signal Group Info'!$A$7:$A$22,0)),VLOOKUP(B15&amp;"*",'3 - Signal Group Info'!$A$7:$I$22,9,FALSE),IF(ISNUMBER(MATCH(B15&amp;"*",'3 - Signal Group Info'!$J$7:$J$22,0)),VLOOKUP(B15&amp;"*",'3 - Signal Group Info'!$J$7:$R$22,9,FALSE),"")))</f>
        <v/>
      </c>
      <c r="D15" s="216" t="str">
        <f>VLOOKUP(B15,Lists!I7:K22,3,FALSE)</f>
        <v/>
      </c>
      <c r="E15" s="136"/>
      <c r="F15" s="207" t="str">
        <f>IF($B15="","",VLOOKUP($B15,Lists!$I$2:$L$17,4,FALSE))</f>
        <v/>
      </c>
      <c r="G15" s="137"/>
      <c r="H15" s="160" t="str">
        <f>IF($B15="","",'11 - All Red'!J13)</f>
        <v/>
      </c>
      <c r="I15" s="158" t="str">
        <f>IF($B15="","",'11 - All Red'!K13)</f>
        <v/>
      </c>
      <c r="J15" s="159" t="str">
        <f>IF($B15="","",'11 - All Red'!L13)</f>
        <v/>
      </c>
      <c r="K15" s="174" t="str">
        <f>IF(OR(B40="Y",C40="Y"),"Y",IF(OR(B40="N",C40="N"),"N"," "))</f>
        <v xml:space="preserve"> </v>
      </c>
      <c r="L15" s="135"/>
    </row>
    <row r="16" spans="1:15" ht="18" customHeight="1" x14ac:dyDescent="0.2">
      <c r="A16" s="135"/>
      <c r="B16" s="272" t="str">
        <f>IF(COUNTIF('3 - Signal Group Info'!$A$7:$A$22,"P7*")+COUNTIF('3 - Signal Group Info'!$J$7:$J$22,"P7*")&gt;0,"P7","")</f>
        <v/>
      </c>
      <c r="C16" s="207" t="str">
        <f>IF(B16="","",IF(ISNUMBER(MATCH(B16&amp;"*",'3 - Signal Group Info'!$A$7:$A$22,0)),VLOOKUP(B16&amp;"*",'3 - Signal Group Info'!$A$7:$I$22,9,FALSE),IF(ISNUMBER(MATCH(B16&amp;"*",'3 - Signal Group Info'!$J$7:$J$22,0)),VLOOKUP(B16&amp;"*",'3 - Signal Group Info'!$J$7:$R$22,9,FALSE),"")))</f>
        <v/>
      </c>
      <c r="D16" s="216" t="str">
        <f>VLOOKUP(B16,Lists!I8:K23,3,FALSE)</f>
        <v/>
      </c>
      <c r="E16" s="136"/>
      <c r="F16" s="207" t="str">
        <f>IF($B16="","",VLOOKUP($B16,Lists!$I$2:$L$17,4,FALSE))</f>
        <v/>
      </c>
      <c r="G16" s="137"/>
      <c r="H16" s="160" t="str">
        <f>IF($B16="","",'11 - All Red'!J14)</f>
        <v/>
      </c>
      <c r="I16" s="158" t="str">
        <f>IF($B16="","",'11 - All Red'!K14)</f>
        <v/>
      </c>
      <c r="J16" s="159" t="str">
        <f>IF($B16="","",'11 - All Red'!L14)</f>
        <v/>
      </c>
      <c r="K16" s="174" t="str">
        <f>IF(OR(B42="Y",C42="Y"),"Y",IF(OR(B42="N",C42="N"),"N"," "))</f>
        <v xml:space="preserve"> </v>
      </c>
      <c r="L16" s="135"/>
    </row>
    <row r="17" spans="1:15" ht="18" customHeight="1" thickBot="1" x14ac:dyDescent="0.25">
      <c r="A17" s="135"/>
      <c r="B17" s="273" t="str">
        <f>IF(COUNTIF('3 - Signal Group Info'!$A$7:$A$22,"P8*")+COUNTIF('3 - Signal Group Info'!$J$7:$J$22,"P8*")&gt;0,"P8","")</f>
        <v/>
      </c>
      <c r="C17" s="208" t="str">
        <f>IF(B17="","",IF(ISNUMBER(MATCH(B17&amp;"*",'3 - Signal Group Info'!$A$7:$A$22,0)),VLOOKUP(B17&amp;"*",'3 - Signal Group Info'!$A$7:$I$22,9,FALSE),IF(ISNUMBER(MATCH(B17&amp;"*",'3 - Signal Group Info'!$J$7:$J$22,0)),VLOOKUP(B17&amp;"*",'3 - Signal Group Info'!$J$7:$R$22,9,FALSE),"")))</f>
        <v/>
      </c>
      <c r="D17" s="217" t="str">
        <f>VLOOKUP(B17,Lists!I9:K24,3,FALSE)</f>
        <v/>
      </c>
      <c r="E17" s="281"/>
      <c r="F17" s="208" t="str">
        <f>IF($B17="","",VLOOKUP($B17,Lists!$I$2:$L$17,4,FALSE))</f>
        <v/>
      </c>
      <c r="G17" s="138"/>
      <c r="H17" s="203" t="str">
        <f>IF($B17="","",'11 - All Red'!J15)</f>
        <v/>
      </c>
      <c r="I17" s="204" t="str">
        <f>IF($B17="","",'11 - All Red'!K15)</f>
        <v/>
      </c>
      <c r="J17" s="205" t="str">
        <f>IF($B17="","",'11 - All Red'!L15)</f>
        <v/>
      </c>
      <c r="K17" s="206" t="str">
        <f>IF(OR(B45="Y",C45="Y"),"Y",IF(OR(B45="N",C45="N"),"N"," "))</f>
        <v xml:space="preserve"> </v>
      </c>
      <c r="L17" s="135"/>
      <c r="O17" t="str">
        <f>IF(LEFT('3 - Signal Group Info'!$J$15,2)=("P"&amp;B17),'3 - Signal Group Info'!$R$15,IF(LEFT('3 - Signal Group Info'!$J$17,2)=("P"&amp;B17),'3 - Signal Group Info'!$R$17,IF(LEFT('3 - Signal Group Info'!$J$19,2)=("P"&amp;B17),'3 - Signal Group Info'!$R$19,IF(LEFT('3 - Signal Group Info'!$J$21,2)=("P"&amp;B17),'3 - Signal Group Info'!$R$21,""))))</f>
        <v/>
      </c>
    </row>
    <row r="18" spans="1:15" ht="16.5" thickTop="1" thickBot="1" x14ac:dyDescent="0.25">
      <c r="A18" s="135"/>
      <c r="B18" s="149"/>
      <c r="C18" s="150"/>
      <c r="D18" s="150"/>
      <c r="E18" s="150"/>
      <c r="F18" s="150"/>
      <c r="G18" s="150"/>
      <c r="H18" s="150"/>
      <c r="I18" s="151"/>
      <c r="J18" s="151"/>
      <c r="K18" s="150"/>
      <c r="L18" s="135"/>
    </row>
    <row r="19" spans="1:15" ht="21" customHeight="1" thickBot="1" x14ac:dyDescent="0.25">
      <c r="A19" s="135"/>
      <c r="B19" s="149"/>
      <c r="C19" s="792"/>
      <c r="D19" s="793"/>
      <c r="E19" s="793"/>
      <c r="F19" s="793"/>
      <c r="G19" s="793"/>
      <c r="H19" s="793"/>
      <c r="I19" s="793"/>
      <c r="J19" s="793"/>
      <c r="K19" s="794"/>
      <c r="L19" s="135"/>
    </row>
    <row r="20" spans="1:15" ht="13.5" thickBot="1" x14ac:dyDescent="0.25">
      <c r="A20" s="429"/>
      <c r="B20" s="429"/>
      <c r="C20" s="135"/>
      <c r="D20" s="135"/>
      <c r="E20" s="135"/>
      <c r="F20" s="135"/>
      <c r="G20" s="135"/>
      <c r="H20" s="135"/>
      <c r="I20" s="135"/>
      <c r="J20" s="135"/>
      <c r="K20" s="135"/>
      <c r="L20" s="135"/>
    </row>
    <row r="21" spans="1:15" ht="14.25" thickTop="1" thickBot="1" x14ac:dyDescent="0.25">
      <c r="A21" s="429"/>
      <c r="B21" s="781" t="s">
        <v>247</v>
      </c>
      <c r="C21" s="782"/>
      <c r="D21" s="783"/>
      <c r="E21" s="775" t="s">
        <v>248</v>
      </c>
      <c r="F21" s="776"/>
      <c r="G21" s="135"/>
      <c r="H21" s="135"/>
      <c r="I21" s="135"/>
      <c r="J21" s="135"/>
      <c r="K21" s="135"/>
      <c r="L21" s="135"/>
    </row>
    <row r="22" spans="1:15" ht="13.5" thickTop="1" x14ac:dyDescent="0.2">
      <c r="A22" s="429"/>
      <c r="B22" s="430"/>
      <c r="C22" s="430"/>
      <c r="D22" s="430"/>
      <c r="E22" s="152"/>
      <c r="F22" s="152"/>
      <c r="G22" s="135"/>
      <c r="H22" s="135"/>
      <c r="I22" s="135"/>
      <c r="J22" s="135"/>
      <c r="K22" s="135"/>
      <c r="L22" s="135"/>
    </row>
    <row r="23" spans="1:15" x14ac:dyDescent="0.2">
      <c r="A23" s="429"/>
      <c r="B23" s="430"/>
      <c r="C23" s="430"/>
      <c r="D23" s="430"/>
      <c r="E23" s="152"/>
      <c r="F23" s="152"/>
      <c r="G23" s="135"/>
      <c r="H23" s="135"/>
      <c r="I23" s="135"/>
      <c r="J23" s="135"/>
      <c r="K23" s="135"/>
      <c r="L23" s="135"/>
    </row>
    <row r="24" spans="1:15" x14ac:dyDescent="0.2">
      <c r="A24" s="429"/>
      <c r="B24" s="430"/>
      <c r="C24" s="430"/>
      <c r="D24" s="430"/>
      <c r="E24" s="152"/>
      <c r="F24" s="152"/>
      <c r="G24" s="135"/>
      <c r="H24" s="135"/>
      <c r="I24" s="135"/>
      <c r="J24" s="135"/>
      <c r="K24" s="135"/>
      <c r="L24" s="135"/>
    </row>
    <row r="25" spans="1:15" x14ac:dyDescent="0.2">
      <c r="A25" s="429"/>
      <c r="B25" s="431"/>
      <c r="C25" s="431"/>
      <c r="D25" s="431"/>
      <c r="E25" s="148"/>
      <c r="F25" s="148"/>
      <c r="G25" s="135"/>
      <c r="H25" s="135"/>
      <c r="I25" s="135"/>
      <c r="J25" s="135"/>
      <c r="K25" s="135"/>
      <c r="L25" s="135"/>
    </row>
    <row r="26" spans="1:15" ht="18" x14ac:dyDescent="0.25">
      <c r="A26" s="752" t="s">
        <v>249</v>
      </c>
      <c r="B26" s="752"/>
      <c r="C26" s="752"/>
      <c r="D26" s="752"/>
      <c r="E26" s="752"/>
      <c r="F26" s="752"/>
      <c r="G26" s="752"/>
      <c r="H26" s="752"/>
      <c r="I26" s="752"/>
      <c r="J26" s="752"/>
      <c r="K26" s="752"/>
      <c r="L26" s="752"/>
    </row>
    <row r="27" spans="1:15" ht="13.5" thickBot="1" x14ac:dyDescent="0.25">
      <c r="A27" s="429"/>
      <c r="B27" s="135"/>
      <c r="C27" s="135"/>
      <c r="D27" s="135"/>
      <c r="E27" s="135"/>
      <c r="F27" s="135"/>
      <c r="G27" s="135"/>
      <c r="H27" s="135"/>
      <c r="I27" s="135"/>
      <c r="J27" s="135"/>
      <c r="K27" s="135"/>
      <c r="L27" s="135"/>
    </row>
    <row r="28" spans="1:15" ht="25.5" customHeight="1" thickTop="1" x14ac:dyDescent="0.2">
      <c r="A28" s="279"/>
      <c r="B28" s="795" t="s">
        <v>250</v>
      </c>
      <c r="C28" s="796"/>
      <c r="D28" s="797" t="s">
        <v>251</v>
      </c>
      <c r="E28" s="798"/>
      <c r="F28" s="797" t="s">
        <v>252</v>
      </c>
      <c r="G28" s="798"/>
      <c r="H28" s="786" t="s">
        <v>253</v>
      </c>
      <c r="I28" s="787"/>
      <c r="J28" s="787"/>
      <c r="K28" s="787"/>
      <c r="L28" s="788"/>
    </row>
    <row r="29" spans="1:15" ht="19.5" customHeight="1" thickBot="1" x14ac:dyDescent="0.25">
      <c r="A29" s="280" t="s">
        <v>118</v>
      </c>
      <c r="B29" s="274" t="s">
        <v>254</v>
      </c>
      <c r="C29" s="274" t="s">
        <v>255</v>
      </c>
      <c r="D29" s="799"/>
      <c r="E29" s="800"/>
      <c r="F29" s="799"/>
      <c r="G29" s="800"/>
      <c r="H29" s="789"/>
      <c r="I29" s="790"/>
      <c r="J29" s="790"/>
      <c r="K29" s="790"/>
      <c r="L29" s="791"/>
    </row>
    <row r="30" spans="1:15" ht="18" customHeight="1" thickTop="1" x14ac:dyDescent="0.2">
      <c r="A30" s="818" t="str">
        <f>IF(B10="","",B10)</f>
        <v>P1</v>
      </c>
      <c r="B30" s="275" t="s">
        <v>248</v>
      </c>
      <c r="C30" s="275"/>
      <c r="D30" s="811">
        <v>9</v>
      </c>
      <c r="E30" s="812"/>
      <c r="F30" s="813" t="str">
        <f>IF(B30="Y","SPT1"&amp;RIGHT(A30,1),"")</f>
        <v>SPT11</v>
      </c>
      <c r="G30" s="814"/>
      <c r="H30" s="769"/>
      <c r="I30" s="770"/>
      <c r="J30" s="770"/>
      <c r="K30" s="770"/>
      <c r="L30" s="771"/>
    </row>
    <row r="31" spans="1:15" ht="18" customHeight="1" x14ac:dyDescent="0.2">
      <c r="A31" s="816"/>
      <c r="B31" s="317"/>
      <c r="C31" s="317" t="s">
        <v>248</v>
      </c>
      <c r="D31" s="801">
        <v>4</v>
      </c>
      <c r="E31" s="802"/>
      <c r="F31" s="803" t="str">
        <f>IF(B31="Y","SPT1"&amp;RIGHT(A30,1),"")</f>
        <v/>
      </c>
      <c r="G31" s="804"/>
      <c r="H31" s="387"/>
      <c r="I31" s="432"/>
      <c r="J31" s="432"/>
      <c r="K31" s="432"/>
      <c r="L31" s="433"/>
    </row>
    <row r="32" spans="1:15" ht="18" customHeight="1" x14ac:dyDescent="0.2">
      <c r="A32" s="815" t="s">
        <v>256</v>
      </c>
      <c r="B32" s="276" t="s">
        <v>248</v>
      </c>
      <c r="C32" s="276"/>
      <c r="D32" s="801">
        <v>10</v>
      </c>
      <c r="E32" s="802"/>
      <c r="F32" s="803" t="str">
        <f>IF(B32="Y","SPT1"&amp;RIGHT(A32,1),"")</f>
        <v>SPT12</v>
      </c>
      <c r="G32" s="804"/>
      <c r="H32" s="769"/>
      <c r="I32" s="770"/>
      <c r="J32" s="770"/>
      <c r="K32" s="770"/>
      <c r="L32" s="771"/>
    </row>
    <row r="33" spans="1:12" ht="18" customHeight="1" x14ac:dyDescent="0.2">
      <c r="A33" s="816"/>
      <c r="B33" s="276"/>
      <c r="C33" s="276" t="s">
        <v>248</v>
      </c>
      <c r="D33" s="801">
        <v>3</v>
      </c>
      <c r="E33" s="802"/>
      <c r="F33" s="803"/>
      <c r="G33" s="804"/>
      <c r="H33" s="387"/>
      <c r="I33" s="432"/>
      <c r="J33" s="432"/>
      <c r="K33" s="432"/>
      <c r="L33" s="433"/>
    </row>
    <row r="34" spans="1:12" ht="18" customHeight="1" x14ac:dyDescent="0.2">
      <c r="A34" s="815" t="s">
        <v>257</v>
      </c>
      <c r="B34" s="276" t="s">
        <v>248</v>
      </c>
      <c r="C34" s="276"/>
      <c r="D34" s="801">
        <v>12</v>
      </c>
      <c r="E34" s="802"/>
      <c r="F34" s="803" t="str">
        <f>IF(B34="Y","SPT1"&amp;RIGHT(A34,1),"")</f>
        <v>SPT13</v>
      </c>
      <c r="G34" s="804"/>
      <c r="H34" s="769"/>
      <c r="I34" s="770"/>
      <c r="J34" s="770"/>
      <c r="K34" s="770"/>
      <c r="L34" s="771"/>
    </row>
    <row r="35" spans="1:12" ht="18" customHeight="1" x14ac:dyDescent="0.2">
      <c r="A35" s="816"/>
      <c r="B35" s="276"/>
      <c r="C35" s="276" t="s">
        <v>248</v>
      </c>
      <c r="D35" s="801">
        <v>7</v>
      </c>
      <c r="E35" s="802"/>
      <c r="F35" s="386"/>
      <c r="G35" s="434"/>
      <c r="H35" s="387"/>
      <c r="I35" s="432"/>
      <c r="J35" s="432"/>
      <c r="K35" s="432"/>
      <c r="L35" s="433"/>
    </row>
    <row r="36" spans="1:12" ht="18" customHeight="1" x14ac:dyDescent="0.2">
      <c r="A36" s="815" t="s">
        <v>258</v>
      </c>
      <c r="B36" s="276" t="s">
        <v>248</v>
      </c>
      <c r="C36" s="276"/>
      <c r="D36" s="801">
        <v>11</v>
      </c>
      <c r="E36" s="802"/>
      <c r="F36" s="803" t="str">
        <f>IF(B36="Y","SPT1"&amp;RIGHT(A36,1),"")</f>
        <v>SPT14</v>
      </c>
      <c r="G36" s="804"/>
      <c r="H36" s="769"/>
      <c r="I36" s="770"/>
      <c r="J36" s="770"/>
      <c r="K36" s="770"/>
      <c r="L36" s="771"/>
    </row>
    <row r="37" spans="1:12" ht="18" customHeight="1" x14ac:dyDescent="0.2">
      <c r="A37" s="816"/>
      <c r="B37" s="276"/>
      <c r="C37" s="276" t="s">
        <v>248</v>
      </c>
      <c r="D37" s="801">
        <v>8</v>
      </c>
      <c r="E37" s="802"/>
      <c r="F37" s="386"/>
      <c r="G37" s="434"/>
      <c r="H37" s="387"/>
      <c r="I37" s="432"/>
      <c r="J37" s="432"/>
      <c r="K37" s="432"/>
      <c r="L37" s="433"/>
    </row>
    <row r="38" spans="1:12" ht="18" customHeight="1" x14ac:dyDescent="0.2">
      <c r="A38" s="815" t="s">
        <v>259</v>
      </c>
      <c r="B38" s="276"/>
      <c r="C38" s="276"/>
      <c r="D38" s="801" t="s">
        <v>118</v>
      </c>
      <c r="E38" s="802"/>
      <c r="F38" s="803" t="str">
        <f t="shared" ref="F38:F42" si="1">IF(B38="Y","SPT1"&amp;RIGHT(A38,1),"")</f>
        <v/>
      </c>
      <c r="G38" s="804"/>
      <c r="H38" s="769" t="s">
        <v>118</v>
      </c>
      <c r="I38" s="770"/>
      <c r="J38" s="770"/>
      <c r="K38" s="770"/>
      <c r="L38" s="771"/>
    </row>
    <row r="39" spans="1:12" ht="18" customHeight="1" x14ac:dyDescent="0.2">
      <c r="A39" s="816"/>
      <c r="B39" s="276"/>
      <c r="C39" s="276"/>
      <c r="D39" s="435"/>
      <c r="E39" s="436"/>
      <c r="F39" s="386"/>
      <c r="G39" s="434"/>
      <c r="H39" s="387"/>
      <c r="I39" s="432"/>
      <c r="J39" s="432"/>
      <c r="K39" s="432"/>
      <c r="L39" s="433"/>
    </row>
    <row r="40" spans="1:12" ht="18" customHeight="1" x14ac:dyDescent="0.2">
      <c r="A40" s="815" t="s">
        <v>260</v>
      </c>
      <c r="B40" s="276"/>
      <c r="C40" s="276"/>
      <c r="D40" s="435"/>
      <c r="E40" s="436"/>
      <c r="F40" s="803" t="str">
        <f t="shared" si="1"/>
        <v/>
      </c>
      <c r="G40" s="804"/>
      <c r="H40" s="769"/>
      <c r="I40" s="770"/>
      <c r="J40" s="770"/>
      <c r="K40" s="770"/>
      <c r="L40" s="771"/>
    </row>
    <row r="41" spans="1:12" ht="18" customHeight="1" x14ac:dyDescent="0.2">
      <c r="A41" s="816"/>
      <c r="B41" s="276"/>
      <c r="C41" s="276"/>
      <c r="D41" s="435"/>
      <c r="E41" s="436"/>
      <c r="F41" s="386"/>
      <c r="G41" s="434"/>
      <c r="H41" s="387"/>
      <c r="I41" s="432"/>
      <c r="J41" s="432"/>
      <c r="K41" s="432"/>
      <c r="L41" s="433"/>
    </row>
    <row r="42" spans="1:12" ht="18" customHeight="1" x14ac:dyDescent="0.2">
      <c r="A42" s="815" t="s">
        <v>261</v>
      </c>
      <c r="B42" s="276"/>
      <c r="C42" s="276"/>
      <c r="D42" s="435"/>
      <c r="E42" s="436"/>
      <c r="F42" s="803" t="str">
        <f t="shared" si="1"/>
        <v/>
      </c>
      <c r="G42" s="804"/>
      <c r="H42" s="769"/>
      <c r="I42" s="770"/>
      <c r="J42" s="770"/>
      <c r="K42" s="770"/>
      <c r="L42" s="771"/>
    </row>
    <row r="43" spans="1:12" ht="18" customHeight="1" x14ac:dyDescent="0.2">
      <c r="A43" s="816"/>
      <c r="B43" s="318"/>
      <c r="C43" s="318"/>
      <c r="D43" s="435"/>
      <c r="E43" s="436"/>
      <c r="F43" s="437"/>
      <c r="G43" s="438"/>
      <c r="H43" s="439"/>
      <c r="I43" s="440"/>
      <c r="J43" s="440"/>
      <c r="K43" s="440"/>
      <c r="L43" s="441"/>
    </row>
    <row r="44" spans="1:12" ht="18" customHeight="1" x14ac:dyDescent="0.2">
      <c r="A44" s="815" t="s">
        <v>262</v>
      </c>
      <c r="B44" s="318"/>
      <c r="C44" s="318"/>
      <c r="D44" s="435"/>
      <c r="E44" s="436"/>
      <c r="F44" s="437"/>
      <c r="G44" s="438"/>
      <c r="H44" s="439"/>
      <c r="I44" s="440"/>
      <c r="J44" s="440"/>
      <c r="K44" s="440"/>
      <c r="L44" s="441"/>
    </row>
    <row r="45" spans="1:12" ht="18" customHeight="1" thickBot="1" x14ac:dyDescent="0.25">
      <c r="A45" s="817"/>
      <c r="B45" s="277"/>
      <c r="C45" s="278"/>
      <c r="D45" s="807"/>
      <c r="E45" s="808"/>
      <c r="F45" s="809" t="str">
        <f>IF(B45="Y","SPT1"&amp;RIGHT(A44,1),"")</f>
        <v/>
      </c>
      <c r="G45" s="810"/>
      <c r="H45" s="772"/>
      <c r="I45" s="773"/>
      <c r="J45" s="773"/>
      <c r="K45" s="773"/>
      <c r="L45" s="774"/>
    </row>
    <row r="46" spans="1:12" ht="13.5" thickTop="1" x14ac:dyDescent="0.2">
      <c r="A46" s="429"/>
      <c r="B46" s="429"/>
      <c r="C46" s="135"/>
      <c r="D46" s="135"/>
      <c r="E46" s="135"/>
      <c r="F46" s="135"/>
      <c r="G46" s="135"/>
      <c r="H46" s="135"/>
      <c r="I46" s="135"/>
      <c r="J46" s="135"/>
      <c r="K46" s="135"/>
      <c r="L46" s="135"/>
    </row>
    <row r="47" spans="1:12" x14ac:dyDescent="0.2">
      <c r="A47" s="135"/>
      <c r="B47" s="135"/>
      <c r="C47" s="135"/>
      <c r="D47" s="153" t="s">
        <v>263</v>
      </c>
      <c r="E47" s="154"/>
      <c r="F47" s="154"/>
      <c r="G47" s="154"/>
      <c r="H47" s="154"/>
      <c r="I47" s="135"/>
      <c r="J47" s="135"/>
      <c r="K47" s="135"/>
      <c r="L47" s="135"/>
    </row>
    <row r="48" spans="1:12" x14ac:dyDescent="0.2">
      <c r="A48" s="442" t="s">
        <v>264</v>
      </c>
      <c r="B48" s="155" t="s">
        <v>265</v>
      </c>
      <c r="C48" s="154"/>
      <c r="D48" s="154"/>
      <c r="E48" s="154"/>
      <c r="F48" s="154"/>
      <c r="G48" s="154"/>
      <c r="H48" s="154"/>
      <c r="I48" s="154"/>
      <c r="J48" s="154"/>
      <c r="K48" s="154"/>
      <c r="L48" s="154"/>
    </row>
    <row r="49" spans="1:12" ht="18" customHeight="1" x14ac:dyDescent="0.2">
      <c r="A49" s="154"/>
      <c r="B49" s="154"/>
      <c r="C49" s="154"/>
      <c r="D49" s="154"/>
      <c r="E49" s="154"/>
      <c r="F49" s="154"/>
      <c r="G49" s="154"/>
      <c r="H49" s="154"/>
      <c r="I49" s="154"/>
      <c r="J49" s="154"/>
      <c r="K49" s="154"/>
      <c r="L49" s="154"/>
    </row>
    <row r="50" spans="1:12" x14ac:dyDescent="0.2">
      <c r="A50" s="154"/>
      <c r="B50" s="155" t="s">
        <v>266</v>
      </c>
      <c r="C50" s="154"/>
      <c r="D50" s="154"/>
      <c r="E50" s="154"/>
      <c r="F50" s="154"/>
      <c r="G50" s="154"/>
      <c r="H50" s="154"/>
      <c r="I50" s="154"/>
      <c r="J50" s="154"/>
      <c r="K50" s="154"/>
      <c r="L50" s="154"/>
    </row>
    <row r="51" spans="1:12" x14ac:dyDescent="0.2">
      <c r="A51" s="154"/>
      <c r="B51" s="154" t="s">
        <v>267</v>
      </c>
      <c r="C51" s="154"/>
      <c r="D51" s="154"/>
      <c r="E51" s="154"/>
      <c r="F51" s="154"/>
      <c r="G51" s="154"/>
      <c r="H51" s="154"/>
      <c r="I51" s="154"/>
      <c r="J51" s="154"/>
      <c r="K51" s="154"/>
      <c r="L51" s="154"/>
    </row>
    <row r="52" spans="1:12" x14ac:dyDescent="0.2">
      <c r="A52" s="154"/>
      <c r="B52" s="154" t="s">
        <v>268</v>
      </c>
      <c r="C52" s="154"/>
      <c r="D52" s="154"/>
      <c r="E52" s="154"/>
      <c r="F52" s="154"/>
      <c r="G52" s="154"/>
      <c r="H52" s="154"/>
      <c r="I52" s="154"/>
      <c r="J52" s="154"/>
      <c r="K52" s="154"/>
      <c r="L52" s="154"/>
    </row>
    <row r="53" spans="1:12" x14ac:dyDescent="0.2">
      <c r="A53" s="154"/>
      <c r="B53" s="154"/>
      <c r="C53" s="154"/>
      <c r="D53" s="154"/>
      <c r="E53" s="154"/>
      <c r="F53" s="154"/>
      <c r="G53" s="154"/>
      <c r="H53" s="154"/>
      <c r="I53" s="154"/>
      <c r="J53" s="154"/>
      <c r="K53" s="154"/>
      <c r="L53" s="154"/>
    </row>
    <row r="54" spans="1:12" x14ac:dyDescent="0.2">
      <c r="A54" s="154"/>
      <c r="B54" s="154" t="s">
        <v>269</v>
      </c>
      <c r="C54" s="154"/>
      <c r="D54" s="154"/>
      <c r="E54" s="154"/>
      <c r="F54" s="154"/>
      <c r="G54" s="154"/>
      <c r="H54" s="154"/>
      <c r="I54" s="154"/>
      <c r="J54" s="154"/>
      <c r="K54" s="154"/>
      <c r="L54" s="154"/>
    </row>
    <row r="55" spans="1:12" x14ac:dyDescent="0.2">
      <c r="A55" s="154"/>
      <c r="B55" s="154" t="s">
        <v>270</v>
      </c>
      <c r="C55" s="154"/>
      <c r="D55" s="154"/>
      <c r="E55" s="154"/>
      <c r="F55" s="154"/>
      <c r="G55" s="154"/>
      <c r="H55" s="154"/>
      <c r="I55" s="154"/>
      <c r="J55" s="154"/>
      <c r="K55" s="154"/>
      <c r="L55" s="154"/>
    </row>
    <row r="56" spans="1:12" x14ac:dyDescent="0.2">
      <c r="A56" s="135"/>
      <c r="B56" s="135"/>
      <c r="C56" s="135"/>
      <c r="D56" s="135"/>
      <c r="E56" s="135"/>
      <c r="F56" s="135"/>
      <c r="G56" s="135"/>
      <c r="H56" s="135"/>
      <c r="I56" s="135"/>
      <c r="J56" s="135"/>
      <c r="K56" s="135"/>
      <c r="L56" s="135"/>
    </row>
    <row r="57" spans="1:12" x14ac:dyDescent="0.2">
      <c r="A57" s="135"/>
      <c r="B57" s="135"/>
      <c r="C57" s="135"/>
      <c r="D57" s="135"/>
      <c r="E57" s="135"/>
      <c r="F57" s="135"/>
      <c r="G57" s="135"/>
      <c r="H57" s="135"/>
      <c r="I57" s="135"/>
      <c r="J57" s="135"/>
      <c r="K57" s="135"/>
      <c r="L57" s="135"/>
    </row>
    <row r="58" spans="1:12" x14ac:dyDescent="0.2">
      <c r="A58" s="135"/>
      <c r="B58" s="135"/>
      <c r="C58" s="135"/>
      <c r="D58" s="135"/>
      <c r="E58" s="135"/>
      <c r="F58" s="135"/>
      <c r="G58" s="135"/>
      <c r="H58" s="135"/>
      <c r="I58" s="135"/>
      <c r="J58" s="135"/>
      <c r="K58" s="135"/>
      <c r="L58" s="135"/>
    </row>
    <row r="59" spans="1:12" x14ac:dyDescent="0.2">
      <c r="A59" s="135"/>
      <c r="B59" s="135"/>
      <c r="C59" s="135"/>
      <c r="D59" s="135"/>
      <c r="E59" s="135"/>
      <c r="F59" s="135"/>
      <c r="G59" s="135"/>
      <c r="H59" s="135"/>
      <c r="I59" s="135"/>
      <c r="J59" s="135"/>
      <c r="K59" s="135"/>
      <c r="L59" s="135"/>
    </row>
    <row r="60" spans="1:12" ht="13.5" customHeight="1" x14ac:dyDescent="0.2">
      <c r="A60" s="135"/>
      <c r="B60" s="135"/>
      <c r="C60" s="135"/>
      <c r="D60" s="135"/>
      <c r="E60" s="135"/>
      <c r="F60" s="135"/>
      <c r="G60" s="135"/>
      <c r="H60" s="135"/>
      <c r="I60" s="135"/>
      <c r="J60" s="135"/>
      <c r="K60" s="135"/>
      <c r="L60" s="135"/>
    </row>
    <row r="61" spans="1:12" ht="18" customHeight="1" x14ac:dyDescent="0.2">
      <c r="A61" s="135"/>
      <c r="B61" s="135"/>
      <c r="C61" s="135"/>
      <c r="D61" s="135"/>
      <c r="E61" s="135"/>
      <c r="F61" s="135"/>
      <c r="G61" s="135"/>
      <c r="H61" s="135"/>
      <c r="I61" s="135"/>
      <c r="J61" s="135"/>
      <c r="K61" s="135"/>
      <c r="L61" s="135"/>
    </row>
    <row r="62" spans="1:12" ht="13.5" customHeight="1" x14ac:dyDescent="0.2">
      <c r="A62" s="135"/>
      <c r="B62" s="135"/>
      <c r="C62" s="135"/>
      <c r="D62" s="135"/>
      <c r="E62" s="135"/>
      <c r="F62" s="135"/>
      <c r="G62" s="135"/>
      <c r="H62" s="135"/>
      <c r="I62" s="135"/>
      <c r="J62" s="135"/>
      <c r="K62" s="135"/>
      <c r="L62" s="135"/>
    </row>
    <row r="63" spans="1:12" ht="13.5" customHeight="1" x14ac:dyDescent="0.2">
      <c r="A63" s="135"/>
      <c r="B63" s="135"/>
      <c r="C63" s="135"/>
      <c r="D63" s="135"/>
      <c r="E63" s="135"/>
      <c r="F63" s="135"/>
      <c r="G63" s="135"/>
      <c r="H63" s="135"/>
      <c r="I63" s="135"/>
      <c r="J63" s="135"/>
      <c r="K63" s="135"/>
      <c r="L63" s="135"/>
    </row>
    <row r="64" spans="1:12" ht="13.5" customHeight="1" x14ac:dyDescent="0.2">
      <c r="A64" s="135"/>
      <c r="B64" s="135"/>
      <c r="C64" s="135"/>
      <c r="D64" s="135"/>
      <c r="E64" s="135"/>
      <c r="F64" s="135"/>
      <c r="G64" s="135"/>
      <c r="H64" s="135"/>
      <c r="I64" s="135"/>
      <c r="J64" s="135"/>
      <c r="K64" s="135"/>
      <c r="L64" s="135"/>
    </row>
    <row r="65" spans="1:12" ht="13.5" customHeight="1" x14ac:dyDescent="0.2">
      <c r="A65" s="135"/>
      <c r="B65" s="135"/>
      <c r="C65" s="135"/>
      <c r="D65" s="135"/>
      <c r="E65" s="135"/>
      <c r="F65" s="135"/>
      <c r="G65" s="135"/>
      <c r="H65" s="135"/>
      <c r="I65" s="135"/>
      <c r="J65" s="135"/>
      <c r="K65" s="135"/>
      <c r="L65" s="135"/>
    </row>
    <row r="66" spans="1:12" ht="13.5" customHeight="1" x14ac:dyDescent="0.2">
      <c r="A66" s="135"/>
      <c r="B66" s="135"/>
      <c r="C66" s="135"/>
      <c r="D66" s="135"/>
      <c r="E66" s="135"/>
      <c r="F66" s="135"/>
      <c r="G66" s="135"/>
      <c r="H66" s="135"/>
      <c r="I66" s="135"/>
      <c r="J66" s="135"/>
      <c r="K66" s="135"/>
      <c r="L66" s="135"/>
    </row>
    <row r="67" spans="1:12" ht="13.5" customHeight="1" x14ac:dyDescent="0.2">
      <c r="A67" s="135"/>
      <c r="B67" s="135"/>
      <c r="C67" s="135"/>
      <c r="D67" s="135"/>
      <c r="E67" s="135"/>
      <c r="F67" s="135"/>
      <c r="G67" s="135"/>
      <c r="H67" s="135"/>
      <c r="I67" s="135"/>
      <c r="J67" s="135"/>
      <c r="K67" s="135"/>
      <c r="L67" s="135"/>
    </row>
    <row r="68" spans="1:12" ht="13.5" customHeight="1" x14ac:dyDescent="0.2">
      <c r="A68" s="135"/>
      <c r="B68" s="135"/>
      <c r="C68" s="135"/>
      <c r="D68" s="135"/>
      <c r="E68" s="135"/>
      <c r="F68" s="135"/>
      <c r="G68" s="135"/>
      <c r="H68" s="135"/>
      <c r="I68" s="135"/>
      <c r="J68" s="135"/>
      <c r="K68" s="135"/>
      <c r="L68" s="135"/>
    </row>
    <row r="69" spans="1:12" ht="13.5" customHeight="1" x14ac:dyDescent="0.2">
      <c r="A69" s="135"/>
      <c r="B69" s="135"/>
      <c r="C69" s="135"/>
      <c r="D69" s="135"/>
      <c r="E69" s="135"/>
      <c r="F69" s="135"/>
      <c r="G69" s="135"/>
      <c r="H69" s="135"/>
      <c r="I69" s="135"/>
      <c r="J69" s="135"/>
      <c r="K69" s="135"/>
      <c r="L69" s="135"/>
    </row>
    <row r="70" spans="1:12" x14ac:dyDescent="0.2">
      <c r="A70" s="156"/>
      <c r="B70" s="135"/>
      <c r="C70" s="135"/>
      <c r="D70" s="135"/>
      <c r="E70" s="135"/>
      <c r="F70" s="135"/>
      <c r="G70" s="135"/>
      <c r="H70" s="135"/>
      <c r="I70" s="135"/>
      <c r="J70" s="135"/>
      <c r="K70" s="135"/>
      <c r="L70" s="135"/>
    </row>
    <row r="71" spans="1:12" x14ac:dyDescent="0.2">
      <c r="A71" s="135"/>
      <c r="B71" s="135"/>
      <c r="C71" s="135"/>
      <c r="D71" s="135"/>
      <c r="E71" s="135"/>
      <c r="F71" s="135"/>
      <c r="G71" s="135"/>
      <c r="H71" s="135"/>
      <c r="I71" s="135"/>
      <c r="J71" s="135"/>
      <c r="K71" s="135"/>
      <c r="L71" s="135"/>
    </row>
    <row r="72" spans="1:12" x14ac:dyDescent="0.2">
      <c r="A72" s="135"/>
      <c r="B72" s="135"/>
      <c r="C72" s="135"/>
      <c r="D72" s="135"/>
      <c r="E72" s="135"/>
      <c r="F72" s="135"/>
      <c r="G72" s="135"/>
      <c r="H72" s="135"/>
      <c r="I72" s="135"/>
      <c r="J72" s="135"/>
      <c r="K72" s="135"/>
      <c r="L72" s="135"/>
    </row>
    <row r="73" spans="1:12" x14ac:dyDescent="0.2">
      <c r="A73" s="135"/>
      <c r="B73" s="135"/>
      <c r="C73" s="135"/>
      <c r="D73" s="135"/>
      <c r="E73" s="135"/>
      <c r="F73" s="135"/>
      <c r="G73" s="135"/>
      <c r="H73" s="135"/>
      <c r="I73" s="135"/>
      <c r="J73" s="135"/>
      <c r="K73" s="135"/>
      <c r="L73" s="135"/>
    </row>
    <row r="74" spans="1:12" x14ac:dyDescent="0.2">
      <c r="A74" s="135"/>
      <c r="B74" s="135"/>
      <c r="C74" s="135"/>
      <c r="D74" s="135"/>
      <c r="E74" s="135"/>
      <c r="F74" s="135"/>
      <c r="G74" s="135"/>
      <c r="H74" s="135"/>
      <c r="I74" s="135"/>
      <c r="J74" s="135"/>
      <c r="K74" s="135"/>
      <c r="L74" s="135"/>
    </row>
    <row r="75" spans="1:12" x14ac:dyDescent="0.2">
      <c r="A75" s="135"/>
      <c r="B75" s="135"/>
      <c r="C75" s="135"/>
      <c r="D75" s="135"/>
      <c r="E75" s="135"/>
      <c r="F75" s="135"/>
      <c r="G75" s="135"/>
      <c r="H75" s="135"/>
      <c r="I75" s="135"/>
      <c r="J75" s="135"/>
      <c r="K75" s="135"/>
      <c r="L75" s="135"/>
    </row>
    <row r="76" spans="1:12" x14ac:dyDescent="0.2">
      <c r="A76" s="135"/>
      <c r="B76" s="135"/>
      <c r="C76" s="135"/>
      <c r="D76" s="135"/>
      <c r="E76" s="135"/>
      <c r="F76" s="135"/>
      <c r="G76" s="135"/>
      <c r="H76" s="135"/>
      <c r="I76" s="135"/>
      <c r="J76" s="135"/>
      <c r="K76" s="135"/>
      <c r="L76" s="135"/>
    </row>
    <row r="77" spans="1:12" x14ac:dyDescent="0.2">
      <c r="A77" s="135"/>
      <c r="B77" s="135"/>
      <c r="C77" s="135"/>
      <c r="D77" s="135"/>
      <c r="E77" s="135"/>
      <c r="F77" s="135"/>
      <c r="G77" s="135"/>
      <c r="H77" s="135"/>
      <c r="I77" s="135"/>
      <c r="J77" s="135"/>
      <c r="K77" s="135"/>
      <c r="L77" s="135"/>
    </row>
    <row r="78" spans="1:12" x14ac:dyDescent="0.2">
      <c r="A78" s="135"/>
      <c r="B78" s="135"/>
      <c r="C78" s="135"/>
      <c r="D78" s="135"/>
      <c r="E78" s="135"/>
      <c r="F78" s="135"/>
      <c r="G78" s="135"/>
      <c r="H78" s="135"/>
      <c r="I78" s="135"/>
      <c r="J78" s="135"/>
      <c r="K78" s="135"/>
      <c r="L78" s="135"/>
    </row>
    <row r="79" spans="1:12" x14ac:dyDescent="0.2">
      <c r="A79" s="135"/>
      <c r="B79" s="135"/>
      <c r="C79" s="135"/>
      <c r="D79" s="135"/>
      <c r="E79" s="135"/>
      <c r="F79" s="135"/>
      <c r="G79" s="135"/>
      <c r="H79" s="135"/>
      <c r="I79" s="135"/>
      <c r="J79" s="135"/>
      <c r="K79" s="135"/>
      <c r="L79" s="135"/>
    </row>
    <row r="80" spans="1:12" x14ac:dyDescent="0.2">
      <c r="A80" s="135"/>
      <c r="B80" s="135"/>
      <c r="C80" s="135"/>
      <c r="D80" s="135"/>
      <c r="E80" s="135"/>
      <c r="F80" s="135"/>
      <c r="G80" s="135"/>
      <c r="H80" s="135"/>
      <c r="I80" s="135"/>
      <c r="J80" s="135"/>
      <c r="K80" s="135"/>
      <c r="L80" s="135"/>
    </row>
    <row r="81" spans="1:12" x14ac:dyDescent="0.2">
      <c r="A81" s="135"/>
      <c r="B81" s="135"/>
      <c r="C81" s="135"/>
      <c r="D81" s="135"/>
      <c r="E81" s="135"/>
      <c r="F81" s="135"/>
      <c r="G81" s="135"/>
      <c r="H81" s="135"/>
      <c r="I81" s="135"/>
      <c r="J81" s="135"/>
      <c r="K81" s="135"/>
      <c r="L81" s="135"/>
    </row>
    <row r="82" spans="1:12" x14ac:dyDescent="0.2">
      <c r="A82" s="135"/>
      <c r="B82" s="135"/>
      <c r="C82" s="135"/>
      <c r="D82" s="135"/>
      <c r="E82" s="135"/>
      <c r="F82" s="135"/>
      <c r="G82" s="135"/>
      <c r="H82" s="135"/>
      <c r="I82" s="135"/>
      <c r="J82" s="135"/>
      <c r="K82" s="135"/>
      <c r="L82" s="135"/>
    </row>
    <row r="83" spans="1:12" x14ac:dyDescent="0.2">
      <c r="A83" s="135"/>
      <c r="B83" s="135"/>
      <c r="C83" s="135"/>
      <c r="D83" s="135"/>
      <c r="E83" s="135"/>
      <c r="F83" s="135"/>
      <c r="G83" s="135"/>
      <c r="H83" s="135"/>
      <c r="I83" s="135"/>
      <c r="J83" s="135"/>
      <c r="K83" s="135"/>
      <c r="L83" s="135"/>
    </row>
    <row r="84" spans="1:12" x14ac:dyDescent="0.2">
      <c r="A84" s="135"/>
      <c r="B84" s="135"/>
      <c r="C84" s="135"/>
      <c r="D84" s="135"/>
      <c r="E84" s="135"/>
      <c r="F84" s="135"/>
      <c r="G84" s="135"/>
      <c r="H84" s="135"/>
      <c r="I84" s="135"/>
      <c r="J84" s="135"/>
      <c r="K84" s="135"/>
      <c r="L84" s="135"/>
    </row>
    <row r="85" spans="1:12" x14ac:dyDescent="0.2">
      <c r="A85" s="135"/>
      <c r="B85" s="135"/>
      <c r="C85" s="135"/>
      <c r="D85" s="135"/>
      <c r="E85" s="135"/>
      <c r="F85" s="135"/>
      <c r="G85" s="135"/>
      <c r="H85" s="135"/>
      <c r="I85" s="135"/>
      <c r="J85" s="135"/>
      <c r="K85" s="135"/>
      <c r="L85" s="135"/>
    </row>
    <row r="86" spans="1:12" x14ac:dyDescent="0.2">
      <c r="A86" s="135"/>
      <c r="B86" s="135"/>
      <c r="C86" s="135"/>
      <c r="D86" s="135"/>
      <c r="E86" s="135"/>
      <c r="F86" s="135"/>
      <c r="G86" s="135"/>
      <c r="H86" s="135"/>
      <c r="I86" s="135"/>
      <c r="J86" s="135"/>
      <c r="K86" s="135"/>
      <c r="L86" s="135"/>
    </row>
    <row r="87" spans="1:12" x14ac:dyDescent="0.2">
      <c r="A87" s="135"/>
      <c r="B87" s="135"/>
      <c r="C87" s="135"/>
      <c r="D87" s="135"/>
      <c r="E87" s="135"/>
      <c r="F87" s="135"/>
      <c r="G87" s="135"/>
      <c r="H87" s="135"/>
      <c r="I87" s="135"/>
      <c r="J87" s="135"/>
      <c r="K87" s="135"/>
      <c r="L87" s="135"/>
    </row>
    <row r="88" spans="1:12" x14ac:dyDescent="0.2">
      <c r="A88" s="135"/>
      <c r="B88" s="135"/>
      <c r="C88" s="135"/>
      <c r="D88" s="135"/>
      <c r="E88" s="135"/>
      <c r="F88" s="135"/>
      <c r="G88" s="135"/>
      <c r="H88" s="135"/>
      <c r="I88" s="135"/>
      <c r="J88" s="135"/>
      <c r="K88" s="135"/>
      <c r="L88" s="135"/>
    </row>
    <row r="89" spans="1:12" x14ac:dyDescent="0.2">
      <c r="A89" s="135"/>
      <c r="B89" s="135"/>
      <c r="C89" s="135"/>
      <c r="D89" s="135"/>
      <c r="E89" s="135"/>
      <c r="F89" s="135"/>
      <c r="G89" s="135"/>
      <c r="H89" s="135"/>
      <c r="I89" s="135"/>
      <c r="J89" s="135"/>
      <c r="K89" s="135"/>
      <c r="L89" s="135"/>
    </row>
    <row r="90" spans="1:12" x14ac:dyDescent="0.2">
      <c r="A90" s="135"/>
      <c r="B90" s="135"/>
      <c r="C90" s="135"/>
      <c r="D90" s="135"/>
      <c r="E90" s="135"/>
      <c r="F90" s="135"/>
      <c r="G90" s="135"/>
      <c r="H90" s="135"/>
      <c r="I90" s="135"/>
      <c r="J90" s="135"/>
      <c r="K90" s="135"/>
      <c r="L90" s="135"/>
    </row>
    <row r="91" spans="1:12" x14ac:dyDescent="0.2">
      <c r="A91" s="135"/>
      <c r="B91" s="135"/>
      <c r="C91" s="135"/>
      <c r="D91" s="135"/>
      <c r="E91" s="135"/>
      <c r="F91" s="135"/>
      <c r="G91" s="135"/>
      <c r="H91" s="135"/>
      <c r="I91" s="135"/>
      <c r="J91" s="135"/>
      <c r="K91" s="135"/>
      <c r="L91" s="135"/>
    </row>
    <row r="92" spans="1:12" x14ac:dyDescent="0.2">
      <c r="A92" s="135"/>
      <c r="B92" s="135"/>
      <c r="C92" s="135"/>
      <c r="D92" s="135"/>
      <c r="E92" s="135"/>
      <c r="F92" s="135"/>
      <c r="G92" s="135"/>
      <c r="H92" s="135"/>
      <c r="I92" s="135"/>
      <c r="J92" s="135"/>
      <c r="K92" s="135"/>
      <c r="L92" s="135"/>
    </row>
    <row r="93" spans="1:12" x14ac:dyDescent="0.2">
      <c r="A93" s="135"/>
      <c r="B93" s="135"/>
      <c r="C93" s="135"/>
      <c r="D93" s="135"/>
      <c r="E93" s="135"/>
      <c r="F93" s="135"/>
      <c r="G93" s="135"/>
      <c r="H93" s="135"/>
      <c r="I93" s="135"/>
      <c r="J93" s="135"/>
      <c r="K93" s="135"/>
      <c r="L93" s="135"/>
    </row>
    <row r="94" spans="1:12" x14ac:dyDescent="0.2">
      <c r="A94" s="135"/>
      <c r="B94" s="135"/>
      <c r="C94" s="135"/>
      <c r="D94" s="135"/>
      <c r="E94" s="135"/>
      <c r="F94" s="135"/>
      <c r="G94" s="135"/>
      <c r="H94" s="135"/>
      <c r="I94" s="135"/>
      <c r="J94" s="135"/>
      <c r="K94" s="135"/>
      <c r="L94" s="135"/>
    </row>
  </sheetData>
  <mergeCells count="61">
    <mergeCell ref="A40:A41"/>
    <mergeCell ref="A44:A45"/>
    <mergeCell ref="A42:A43"/>
    <mergeCell ref="A30:A31"/>
    <mergeCell ref="A32:A33"/>
    <mergeCell ref="A34:A35"/>
    <mergeCell ref="A36:A37"/>
    <mergeCell ref="A38:A39"/>
    <mergeCell ref="F34:G34"/>
    <mergeCell ref="F36:G36"/>
    <mergeCell ref="D30:E30"/>
    <mergeCell ref="D36:E36"/>
    <mergeCell ref="D38:E38"/>
    <mergeCell ref="D34:E34"/>
    <mergeCell ref="F30:G30"/>
    <mergeCell ref="D32:E32"/>
    <mergeCell ref="F32:G32"/>
    <mergeCell ref="F33:G33"/>
    <mergeCell ref="D33:E33"/>
    <mergeCell ref="D35:E35"/>
    <mergeCell ref="D37:E37"/>
    <mergeCell ref="D45:E45"/>
    <mergeCell ref="F38:G38"/>
    <mergeCell ref="F45:G45"/>
    <mergeCell ref="F40:G40"/>
    <mergeCell ref="F42:G42"/>
    <mergeCell ref="A1:B1"/>
    <mergeCell ref="J1:L1"/>
    <mergeCell ref="B2:C2"/>
    <mergeCell ref="E2:F2"/>
    <mergeCell ref="J2:L2"/>
    <mergeCell ref="C1:F1"/>
    <mergeCell ref="H32:L32"/>
    <mergeCell ref="H30:L30"/>
    <mergeCell ref="B28:C28"/>
    <mergeCell ref="D28:E29"/>
    <mergeCell ref="F28:G29"/>
    <mergeCell ref="D31:E31"/>
    <mergeCell ref="F31:G31"/>
    <mergeCell ref="A26:L26"/>
    <mergeCell ref="H28:L29"/>
    <mergeCell ref="D8:D9"/>
    <mergeCell ref="H8:H9"/>
    <mergeCell ref="I8:I9"/>
    <mergeCell ref="J8:J9"/>
    <mergeCell ref="C19:K19"/>
    <mergeCell ref="A6:L6"/>
    <mergeCell ref="E21:F21"/>
    <mergeCell ref="B8:B9"/>
    <mergeCell ref="C8:C9"/>
    <mergeCell ref="E8:E9"/>
    <mergeCell ref="B21:D21"/>
    <mergeCell ref="F8:F9"/>
    <mergeCell ref="K8:K9"/>
    <mergeCell ref="G8:G9"/>
    <mergeCell ref="H34:L34"/>
    <mergeCell ref="H45:L45"/>
    <mergeCell ref="H42:L42"/>
    <mergeCell ref="H40:L40"/>
    <mergeCell ref="H38:L38"/>
    <mergeCell ref="H36:L36"/>
  </mergeCells>
  <phoneticPr fontId="0" type="noConversion"/>
  <dataValidations count="2">
    <dataValidation type="list" allowBlank="1" showInputMessage="1" showErrorMessage="1" sqref="B30:C45" xr:uid="{00000000-0002-0000-0800-000000000000}">
      <formula1>"Y,N"</formula1>
    </dataValidation>
    <dataValidation type="list" allowBlank="1" showInputMessage="1" showErrorMessage="1" sqref="E10:E17" xr:uid="{00000000-0002-0000-0800-000001000000}">
      <formula1>"A,B,C,D,E,F,G"</formula1>
    </dataValidation>
  </dataValidations>
  <pageMargins left="0.39370078740157483" right="0.39370078740157483" top="0.39370078740157483" bottom="0" header="0.39370078740157483" footer="0.39370078740157483"/>
  <pageSetup paperSize="9" scale="93" orientation="portrait" r:id="rId1"/>
  <headerFooter alignWithMargins="0">
    <oddFooter>&amp;L&amp;A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V59"/>
  <sheetViews>
    <sheetView showGridLines="0" zoomScaleNormal="100" zoomScaleSheetLayoutView="100" workbookViewId="0">
      <selection activeCell="B35" sqref="B35:L35"/>
    </sheetView>
  </sheetViews>
  <sheetFormatPr defaultRowHeight="12.75" x14ac:dyDescent="0.2"/>
  <cols>
    <col min="1" max="1" width="7.7109375" customWidth="1"/>
    <col min="2" max="2" width="9.28515625" customWidth="1"/>
    <col min="3" max="3" width="5.5703125" customWidth="1"/>
    <col min="4" max="4" width="8.7109375" customWidth="1"/>
    <col min="5" max="5" width="11.28515625" customWidth="1"/>
    <col min="6" max="7" width="9.28515625" customWidth="1"/>
    <col min="8" max="9" width="7.7109375" customWidth="1"/>
    <col min="10" max="11" width="9.28515625" customWidth="1"/>
    <col min="12" max="12" width="7.7109375" customWidth="1"/>
    <col min="15" max="15" width="9.140625" customWidth="1"/>
    <col min="19" max="19" width="48" customWidth="1"/>
  </cols>
  <sheetData>
    <row r="1" spans="1:20" ht="15" x14ac:dyDescent="0.25">
      <c r="A1" s="509" t="s">
        <v>2</v>
      </c>
      <c r="B1" s="510"/>
      <c r="C1" s="511" t="str">
        <f>'1 - Cover'!C4</f>
        <v>Naylor / Galloway</v>
      </c>
      <c r="D1" s="511"/>
      <c r="E1" s="511"/>
      <c r="F1" s="511"/>
      <c r="G1" s="265"/>
      <c r="H1" s="265"/>
      <c r="I1" s="256" t="s">
        <v>4</v>
      </c>
      <c r="J1" s="515">
        <f>'1 - Cover'!H4</f>
        <v>36</v>
      </c>
      <c r="K1" s="515"/>
      <c r="L1" s="531"/>
    </row>
    <row r="2" spans="1:20" ht="15.75" thickBot="1" x14ac:dyDescent="0.3">
      <c r="A2" s="234" t="s">
        <v>5</v>
      </c>
      <c r="B2" s="805">
        <f>'1 - Cover'!B5</f>
        <v>43546</v>
      </c>
      <c r="C2" s="806"/>
      <c r="D2" s="393"/>
      <c r="E2" s="628" t="s">
        <v>6</v>
      </c>
      <c r="F2" s="628"/>
      <c r="G2" s="393" t="str">
        <f>'1 - Cover'!E5</f>
        <v>3d</v>
      </c>
      <c r="H2" s="428"/>
      <c r="I2" s="236" t="s">
        <v>41</v>
      </c>
      <c r="J2" s="532" t="str">
        <f>'1 - Cover'!H5</f>
        <v>R Thomson</v>
      </c>
      <c r="K2" s="532"/>
      <c r="L2" s="533"/>
    </row>
    <row r="3" spans="1:20" ht="8.1" customHeight="1" x14ac:dyDescent="0.25">
      <c r="A3" s="23"/>
      <c r="B3" s="23"/>
      <c r="C3" s="313"/>
      <c r="D3" s="313"/>
      <c r="E3" s="313"/>
      <c r="F3" s="313"/>
      <c r="G3" s="313"/>
      <c r="H3" s="313"/>
      <c r="I3" s="24"/>
      <c r="J3" s="313"/>
      <c r="K3" s="313"/>
      <c r="L3" s="313"/>
    </row>
    <row r="4" spans="1:20" ht="18" x14ac:dyDescent="0.25">
      <c r="A4" s="500" t="s">
        <v>271</v>
      </c>
      <c r="B4" s="500"/>
      <c r="C4" s="500"/>
      <c r="D4" s="500"/>
      <c r="E4" s="500"/>
      <c r="F4" s="500"/>
      <c r="G4" s="500"/>
      <c r="H4" s="500"/>
      <c r="I4" s="500"/>
      <c r="J4" s="500"/>
      <c r="K4" s="500"/>
      <c r="L4" s="500"/>
      <c r="M4" s="25"/>
      <c r="N4" s="25"/>
      <c r="O4" s="25" t="str">
        <f>'1 - Cover'!H6</f>
        <v>XLOSM</v>
      </c>
      <c r="P4" s="25"/>
      <c r="Q4" s="25"/>
      <c r="R4" s="25"/>
      <c r="S4" s="25"/>
      <c r="T4" s="25"/>
    </row>
    <row r="5" spans="1:20" ht="13.5" customHeight="1" thickBot="1" x14ac:dyDescent="0.25">
      <c r="A5" s="10"/>
      <c r="M5" s="25"/>
      <c r="N5" s="25"/>
      <c r="O5" s="25" t="str">
        <f>'2 - Install notes'!D24</f>
        <v>N/A</v>
      </c>
      <c r="P5" s="25"/>
      <c r="Q5" s="25"/>
      <c r="R5" s="25"/>
      <c r="S5" s="25"/>
      <c r="T5" s="25"/>
    </row>
    <row r="6" spans="1:20" s="85" customFormat="1" ht="15" customHeight="1" thickTop="1" thickBot="1" x14ac:dyDescent="0.25">
      <c r="A6" s="288" t="s">
        <v>252</v>
      </c>
      <c r="B6" s="819" t="s">
        <v>272</v>
      </c>
      <c r="C6" s="820"/>
      <c r="D6" s="289" t="s">
        <v>273</v>
      </c>
      <c r="E6" s="289" t="s">
        <v>252</v>
      </c>
      <c r="F6" s="821" t="s">
        <v>272</v>
      </c>
      <c r="G6" s="822"/>
      <c r="H6" s="289" t="s">
        <v>273</v>
      </c>
      <c r="I6" s="289" t="s">
        <v>252</v>
      </c>
      <c r="J6" s="821" t="s">
        <v>272</v>
      </c>
      <c r="K6" s="822"/>
      <c r="L6" s="290" t="s">
        <v>273</v>
      </c>
    </row>
    <row r="7" spans="1:20" s="85" customFormat="1" ht="27" customHeight="1" thickTop="1" x14ac:dyDescent="0.2">
      <c r="A7" s="285">
        <v>1</v>
      </c>
      <c r="B7" s="824"/>
      <c r="C7" s="825"/>
      <c r="D7" s="443"/>
      <c r="E7" s="282">
        <v>9</v>
      </c>
      <c r="F7" s="826"/>
      <c r="G7" s="827"/>
      <c r="H7" s="385"/>
      <c r="I7" s="296">
        <v>17</v>
      </c>
      <c r="J7" s="444"/>
      <c r="K7" s="445"/>
      <c r="L7" s="405"/>
    </row>
    <row r="8" spans="1:20" s="85" customFormat="1" ht="27" customHeight="1" x14ac:dyDescent="0.2">
      <c r="A8" s="286">
        <v>2</v>
      </c>
      <c r="B8" s="828"/>
      <c r="C8" s="829"/>
      <c r="D8" s="446"/>
      <c r="E8" s="283">
        <v>10</v>
      </c>
      <c r="F8" s="586" t="str">
        <f>IF($O$4="DDO","D or F Isolated demand",IF($O$4="DDOM","D or F Isolated demand",IF($O$4="DDOS","D or F Isolated demand",IF($O$4="DDSOM","D or F Isolated demand",""))))</f>
        <v/>
      </c>
      <c r="G8" s="872"/>
      <c r="H8" s="447" t="str">
        <f>IF($O$4="DDO","200",IF($O$4="DDOM","200",IF($O$4="DDOS","200",IF($O$4="DDSOM","200",""))))</f>
        <v/>
      </c>
      <c r="I8" s="283">
        <v>18</v>
      </c>
      <c r="J8" s="828"/>
      <c r="K8" s="829"/>
      <c r="L8" s="448"/>
    </row>
    <row r="9" spans="1:20" s="85" customFormat="1" ht="32.25" customHeight="1" x14ac:dyDescent="0.2">
      <c r="A9" s="286">
        <v>3</v>
      </c>
      <c r="B9" s="828"/>
      <c r="C9" s="829"/>
      <c r="D9" s="446"/>
      <c r="E9" s="283">
        <v>11</v>
      </c>
      <c r="F9" s="586" t="s">
        <v>274</v>
      </c>
      <c r="G9" s="823"/>
      <c r="H9" s="384">
        <v>6</v>
      </c>
      <c r="I9" s="283">
        <v>19</v>
      </c>
      <c r="J9" s="828" t="s">
        <v>118</v>
      </c>
      <c r="K9" s="829"/>
      <c r="L9" s="448" t="s">
        <v>118</v>
      </c>
    </row>
    <row r="10" spans="1:20" s="85" customFormat="1" ht="31.5" customHeight="1" x14ac:dyDescent="0.2">
      <c r="A10" s="286">
        <v>4</v>
      </c>
      <c r="B10" s="828"/>
      <c r="C10" s="829"/>
      <c r="D10" s="446"/>
      <c r="E10" s="283">
        <v>12</v>
      </c>
      <c r="F10" s="586" t="s">
        <v>275</v>
      </c>
      <c r="G10" s="823"/>
      <c r="H10" s="384">
        <v>6</v>
      </c>
      <c r="I10" s="283">
        <v>20</v>
      </c>
      <c r="J10" s="830" t="s">
        <v>276</v>
      </c>
      <c r="K10" s="831"/>
      <c r="L10" s="291">
        <v>10</v>
      </c>
    </row>
    <row r="11" spans="1:20" s="85" customFormat="1" ht="24.75" customHeight="1" x14ac:dyDescent="0.2">
      <c r="A11" s="286">
        <v>5</v>
      </c>
      <c r="B11" s="828"/>
      <c r="C11" s="829"/>
      <c r="D11" s="446"/>
      <c r="E11" s="283">
        <v>13</v>
      </c>
      <c r="F11" s="586" t="s">
        <v>277</v>
      </c>
      <c r="G11" s="823"/>
      <c r="H11" s="384">
        <v>6</v>
      </c>
      <c r="I11" s="283">
        <v>25</v>
      </c>
      <c r="J11" s="828"/>
      <c r="K11" s="829"/>
      <c r="L11" s="448"/>
    </row>
    <row r="12" spans="1:20" s="85" customFormat="1" ht="21.75" customHeight="1" x14ac:dyDescent="0.2">
      <c r="A12" s="286">
        <v>6</v>
      </c>
      <c r="B12" s="828"/>
      <c r="C12" s="829"/>
      <c r="D12" s="446"/>
      <c r="E12" s="283">
        <v>14</v>
      </c>
      <c r="F12" s="586" t="s">
        <v>278</v>
      </c>
      <c r="G12" s="823"/>
      <c r="H12" s="384">
        <v>6</v>
      </c>
      <c r="I12" s="283">
        <v>26</v>
      </c>
      <c r="J12" s="828"/>
      <c r="K12" s="829"/>
      <c r="L12" s="448"/>
    </row>
    <row r="13" spans="1:20" s="85" customFormat="1" ht="15" customHeight="1" x14ac:dyDescent="0.2">
      <c r="A13" s="286">
        <v>7</v>
      </c>
      <c r="B13" s="828"/>
      <c r="C13" s="829"/>
      <c r="D13" s="446"/>
      <c r="E13" s="283">
        <v>15</v>
      </c>
      <c r="F13" s="586"/>
      <c r="G13" s="823"/>
      <c r="H13" s="384"/>
      <c r="I13" s="283">
        <v>27</v>
      </c>
      <c r="J13" s="828"/>
      <c r="K13" s="829"/>
      <c r="L13" s="448"/>
    </row>
    <row r="14" spans="1:20" s="85" customFormat="1" ht="15" customHeight="1" thickBot="1" x14ac:dyDescent="0.25">
      <c r="A14" s="287">
        <v>8</v>
      </c>
      <c r="B14" s="832"/>
      <c r="C14" s="833"/>
      <c r="D14" s="449"/>
      <c r="E14" s="284">
        <v>16</v>
      </c>
      <c r="F14" s="842"/>
      <c r="G14" s="843"/>
      <c r="H14" s="450"/>
      <c r="I14" s="284">
        <v>28</v>
      </c>
      <c r="J14" s="832"/>
      <c r="K14" s="833"/>
      <c r="L14" s="451"/>
      <c r="M14" s="25"/>
    </row>
    <row r="15" spans="1:20" ht="15" customHeight="1" thickTop="1" thickBot="1" x14ac:dyDescent="0.3">
      <c r="A15" s="452"/>
      <c r="B15" s="452"/>
      <c r="C15" s="34"/>
      <c r="D15" s="34"/>
      <c r="E15" s="452"/>
      <c r="F15" s="452"/>
      <c r="G15" s="34"/>
      <c r="H15" s="34"/>
      <c r="I15" s="452"/>
      <c r="J15" s="452"/>
      <c r="K15" s="34"/>
      <c r="L15" s="34"/>
    </row>
    <row r="16" spans="1:20" ht="16.5" thickTop="1" thickBot="1" x14ac:dyDescent="0.25">
      <c r="A16" s="15"/>
      <c r="B16" s="15"/>
      <c r="C16" s="15"/>
      <c r="D16" s="869" t="s">
        <v>279</v>
      </c>
      <c r="E16" s="870"/>
      <c r="F16" s="870"/>
      <c r="G16" s="870"/>
      <c r="H16" s="870"/>
      <c r="I16" s="871"/>
      <c r="J16" s="15"/>
      <c r="K16" s="15"/>
      <c r="L16" s="15"/>
    </row>
    <row r="17" spans="1:12" ht="18.75" customHeight="1" thickTop="1" x14ac:dyDescent="0.2">
      <c r="A17" s="15"/>
      <c r="B17" s="15"/>
      <c r="C17" s="15"/>
      <c r="D17" s="844" t="s">
        <v>280</v>
      </c>
      <c r="E17" s="845"/>
      <c r="F17" s="845"/>
      <c r="G17" s="845"/>
      <c r="H17" s="845"/>
      <c r="I17" s="846"/>
      <c r="J17" s="15"/>
      <c r="K17" s="15"/>
      <c r="L17" s="15"/>
    </row>
    <row r="18" spans="1:12" ht="16.5" customHeight="1" thickBot="1" x14ac:dyDescent="0.25">
      <c r="A18" s="15"/>
      <c r="B18" s="15"/>
      <c r="C18" s="15"/>
      <c r="D18" s="848" t="s">
        <v>281</v>
      </c>
      <c r="E18" s="849"/>
      <c r="F18" s="849"/>
      <c r="G18" s="849"/>
      <c r="H18" s="849"/>
      <c r="I18" s="850"/>
      <c r="J18" s="15"/>
      <c r="K18" s="15"/>
    </row>
    <row r="19" spans="1:12" ht="6" customHeight="1" thickTop="1" x14ac:dyDescent="0.2"/>
    <row r="20" spans="1:12" ht="6" customHeight="1" thickBot="1" x14ac:dyDescent="0.25"/>
    <row r="21" spans="1:12" ht="42" customHeight="1" thickTop="1" thickBot="1" x14ac:dyDescent="0.3">
      <c r="B21" s="851" t="s">
        <v>282</v>
      </c>
      <c r="C21" s="852"/>
      <c r="D21" s="852"/>
      <c r="E21" s="852"/>
      <c r="F21" s="852"/>
      <c r="G21" s="853"/>
      <c r="I21" s="854" t="s">
        <v>283</v>
      </c>
      <c r="J21" s="854"/>
      <c r="K21" s="854"/>
      <c r="L21" s="854"/>
    </row>
    <row r="22" spans="1:12" ht="18.75" customHeight="1" thickTop="1" thickBot="1" x14ac:dyDescent="0.3">
      <c r="B22" s="851" t="s">
        <v>284</v>
      </c>
      <c r="C22" s="858"/>
      <c r="D22" s="834" t="s">
        <v>285</v>
      </c>
      <c r="E22" s="835"/>
      <c r="F22" s="856" t="str">
        <f>IF('1 - Cover'!$A$1="DUNEDIN CITY COUNCIL","05:42 hrs",IF('1 - Cover'!$A$1="HAMILTON CITY COUNCIL","05:55hrs",IF('1 - Cover'!$A$1="NAPIER CITY COUNCIL","05:30hrs",IF('1 - Cover'!$A$1="WHANGAREI DISTRICT COUNCIL","05:45hrs",IF('1 - Cover'!$A$1="NEW PLYMOUTH DISTRICT COUNCIL","05:45 hrs",IF('1 - Cover'!$A$1="WHANGANUI DISTRICT COUNCIL","05:30 hrs",0))))))</f>
        <v>05:55hrs</v>
      </c>
      <c r="G22" s="857"/>
      <c r="I22" s="836" t="s">
        <v>286</v>
      </c>
      <c r="J22" s="836"/>
      <c r="K22" s="855" t="s">
        <v>287</v>
      </c>
      <c r="L22" s="855"/>
    </row>
    <row r="23" spans="1:12" ht="19.5" customHeight="1" thickTop="1" thickBot="1" x14ac:dyDescent="0.3">
      <c r="B23" s="859"/>
      <c r="C23" s="860"/>
      <c r="D23" s="834" t="s">
        <v>288</v>
      </c>
      <c r="E23" s="835"/>
      <c r="F23" s="837" t="str">
        <f>IF('1 - Cover'!$A$1="DUNEDIN CITY COUNCIL","08:20 hrs",IF('1 - Cover'!$A$1="HAMILTON CITY COUNCIL","07:30hrs",IF('1 - Cover'!$A$1="NAPIER CITY COUNCIL","07:05hrs",IF('1 - Cover'!$A$1="WHANGAREI DISTRICT COUNCIL","07:10hrs",IF('1 - Cover'!$A$1="NEW PLYMOUTH DISTRICT COUNCIL","07:15 hrs",IF('1 - Cover'!$A$1="WHANGANUI DISTRICT COUNCIL","07:15 hrs",0))))))</f>
        <v>07:30hrs</v>
      </c>
      <c r="G23" s="838"/>
      <c r="I23" s="847" t="s">
        <v>289</v>
      </c>
      <c r="J23" s="847"/>
      <c r="K23" s="839" t="str">
        <f>IF(K25=1,"216v",IF(K25=2,"207v","207v"))</f>
        <v>207v</v>
      </c>
      <c r="L23" s="839"/>
    </row>
    <row r="24" spans="1:12" ht="19.5" customHeight="1" thickTop="1" thickBot="1" x14ac:dyDescent="0.3">
      <c r="B24" s="859"/>
      <c r="C24" s="860"/>
      <c r="D24" s="834" t="s">
        <v>290</v>
      </c>
      <c r="E24" s="835"/>
      <c r="F24" s="837" t="str">
        <f>IF('1 - Cover'!$A$1="DUNEDIN CITY COUNCIL","16:59 hrs",IF('1 - Cover'!$A$1="HAMILTON CITY COUNCIL","17:00hrs",IF('1 - Cover'!$A$1="NAPIER CITY COUNCIL","17:10hrs",IF('1 - Cover'!$A$1="WHANGAREI DISTRICT COUNCIL","17:30hrs",IF('1 - Cover'!$A$1="NEW PLYMOUTH DISTRICT COUNCIL","17:15 hrs",IF('1 - Cover'!$A$1="WHANGANUI DISTRICT COUNCIL","17:10 hrs",0))))))</f>
        <v>17:00hrs</v>
      </c>
      <c r="G24" s="838"/>
      <c r="I24" s="840" t="s">
        <v>291</v>
      </c>
      <c r="J24" s="840"/>
      <c r="K24" s="841" t="s">
        <v>292</v>
      </c>
      <c r="L24" s="841"/>
    </row>
    <row r="25" spans="1:12" ht="19.5" customHeight="1" thickTop="1" thickBot="1" x14ac:dyDescent="0.3">
      <c r="B25" s="861"/>
      <c r="C25" s="862"/>
      <c r="D25" s="834" t="s">
        <v>293</v>
      </c>
      <c r="E25" s="835"/>
      <c r="F25" s="867" t="str">
        <f>IF('1 - Cover'!$A$1="DUNEDIN CITY COUNCIL","21:31 hrs",IF('1 - Cover'!$A$1="HAMILTON CITY COUNCIL","20:50hrs",IF('1 - Cover'!$A$1="NAPIER CITY COUNCIL","21:00hrs",IF('1 - Cover'!$A$1="WHANGAREI DISTRICT COUNCIL","20:55hrs",IF('1 - Cover'!$A$1="NEW PLYMOUTH DISTRICT COUNCIL","21:05 hrs",IF('1 - Cover'!$A$1="WHANGANUI DISTRICT COUNCIL","21:05 hrs",0))))))</f>
        <v>20:50hrs</v>
      </c>
      <c r="G25" s="868"/>
      <c r="I25" s="863" t="s">
        <v>294</v>
      </c>
      <c r="J25" s="864"/>
      <c r="K25" s="865">
        <f>'2 - Install notes'!H22</f>
        <v>2</v>
      </c>
      <c r="L25" s="866"/>
    </row>
    <row r="26" spans="1:12" ht="6" customHeight="1" thickTop="1" thickBot="1" x14ac:dyDescent="0.25"/>
    <row r="27" spans="1:12" ht="6" customHeight="1" thickTop="1" x14ac:dyDescent="0.2">
      <c r="I27" s="899" t="s">
        <v>295</v>
      </c>
      <c r="J27" s="900"/>
      <c r="K27" s="893" t="str">
        <f>IF(K25=1,"ALWAYS,DIM1",IF(K25=2,"ALWAYS, DIM2",""))</f>
        <v>ALWAYS, DIM2</v>
      </c>
      <c r="L27" s="894"/>
    </row>
    <row r="28" spans="1:12" ht="18.75" customHeight="1" thickBot="1" x14ac:dyDescent="0.3">
      <c r="B28" s="82" t="s">
        <v>296</v>
      </c>
      <c r="C28" s="82"/>
      <c r="D28" s="16"/>
      <c r="I28" s="901"/>
      <c r="J28" s="902"/>
      <c r="K28" s="895"/>
      <c r="L28" s="896"/>
    </row>
    <row r="29" spans="1:12" ht="19.5" customHeight="1" thickTop="1" thickBot="1" x14ac:dyDescent="0.25">
      <c r="B29" s="905" t="s">
        <v>296</v>
      </c>
      <c r="C29" s="906"/>
      <c r="D29" s="127" t="s">
        <v>297</v>
      </c>
      <c r="E29" s="129"/>
      <c r="F29" s="81"/>
      <c r="I29" s="903"/>
      <c r="J29" s="904"/>
      <c r="K29" s="897"/>
      <c r="L29" s="898"/>
    </row>
    <row r="30" spans="1:12" ht="20.25" customHeight="1" thickBot="1" x14ac:dyDescent="0.25">
      <c r="B30" s="907" t="s">
        <v>298</v>
      </c>
      <c r="C30" s="908"/>
      <c r="D30" s="315" t="s">
        <v>299</v>
      </c>
      <c r="E30" s="130"/>
      <c r="F30" s="14"/>
    </row>
    <row r="31" spans="1:12" ht="19.5" customHeight="1" thickBot="1" x14ac:dyDescent="0.25">
      <c r="B31" s="909" t="s">
        <v>300</v>
      </c>
      <c r="C31" s="910"/>
      <c r="D31" s="128" t="s">
        <v>301</v>
      </c>
      <c r="E31" s="129"/>
      <c r="F31" s="911" t="s">
        <v>302</v>
      </c>
      <c r="G31" s="911"/>
      <c r="H31" s="911"/>
      <c r="I31" s="911"/>
      <c r="J31" s="911"/>
    </row>
    <row r="32" spans="1:12" ht="8.1" customHeight="1" thickTop="1" x14ac:dyDescent="0.25">
      <c r="B32" s="35"/>
    </row>
    <row r="33" spans="1:22" ht="20.25" customHeight="1" x14ac:dyDescent="0.25">
      <c r="A33" s="500" t="s">
        <v>303</v>
      </c>
      <c r="B33" s="500"/>
      <c r="C33" s="500"/>
      <c r="D33" s="500"/>
      <c r="E33" s="500"/>
      <c r="F33" s="500"/>
      <c r="G33" s="500"/>
      <c r="H33" s="500"/>
      <c r="I33" s="500"/>
      <c r="J33" s="500"/>
      <c r="K33" s="500"/>
      <c r="L33" s="500"/>
    </row>
    <row r="34" spans="1:22" ht="6" customHeight="1" thickBot="1" x14ac:dyDescent="0.25">
      <c r="A34" s="11"/>
      <c r="K34" s="453"/>
      <c r="L34" s="453"/>
    </row>
    <row r="35" spans="1:22" ht="32.25" customHeight="1" thickTop="1" x14ac:dyDescent="0.2">
      <c r="A35" s="311">
        <v>1</v>
      </c>
      <c r="B35" s="885" t="s">
        <v>304</v>
      </c>
      <c r="C35" s="886"/>
      <c r="D35" s="886"/>
      <c r="E35" s="886"/>
      <c r="F35" s="886"/>
      <c r="G35" s="886"/>
      <c r="H35" s="886"/>
      <c r="I35" s="886"/>
      <c r="J35" s="886"/>
      <c r="K35" s="886"/>
      <c r="L35" s="887"/>
      <c r="R35" s="892" t="str">
        <f>IF(K25=1,"216v",IF(K25=2,"207v","207v"))</f>
        <v>207v</v>
      </c>
      <c r="S35" s="892"/>
      <c r="T35" s="892"/>
      <c r="U35" s="892"/>
      <c r="V35" s="892"/>
    </row>
    <row r="36" spans="1:22" ht="13.5" customHeight="1" x14ac:dyDescent="0.2">
      <c r="A36" s="879">
        <v>2</v>
      </c>
      <c r="B36" s="888"/>
      <c r="C36" s="888"/>
      <c r="D36" s="888"/>
      <c r="E36" s="888"/>
      <c r="F36" s="888"/>
      <c r="G36" s="888"/>
      <c r="H36" s="888"/>
      <c r="I36" s="888"/>
      <c r="J36" s="888"/>
      <c r="K36" s="888"/>
      <c r="L36" s="889"/>
      <c r="S36" s="11" t="s">
        <v>305</v>
      </c>
    </row>
    <row r="37" spans="1:22" ht="13.5" customHeight="1" x14ac:dyDescent="0.2">
      <c r="A37" s="879"/>
      <c r="B37" s="888"/>
      <c r="C37" s="888"/>
      <c r="D37" s="888"/>
      <c r="E37" s="888"/>
      <c r="F37" s="888"/>
      <c r="G37" s="888"/>
      <c r="H37" s="888"/>
      <c r="I37" s="888"/>
      <c r="J37" s="888"/>
      <c r="K37" s="888"/>
      <c r="L37" s="889"/>
      <c r="S37" s="11" t="s">
        <v>306</v>
      </c>
    </row>
    <row r="38" spans="1:22" ht="13.5" customHeight="1" x14ac:dyDescent="0.2">
      <c r="A38" s="879">
        <v>3</v>
      </c>
      <c r="B38" s="888"/>
      <c r="C38" s="888"/>
      <c r="D38" s="888"/>
      <c r="E38" s="888"/>
      <c r="F38" s="888"/>
      <c r="G38" s="888"/>
      <c r="H38" s="888"/>
      <c r="I38" s="888"/>
      <c r="J38" s="888"/>
      <c r="K38" s="888"/>
      <c r="L38" s="889"/>
      <c r="S38" s="11" t="s">
        <v>307</v>
      </c>
    </row>
    <row r="39" spans="1:22" ht="13.5" customHeight="1" x14ac:dyDescent="0.2">
      <c r="A39" s="879"/>
      <c r="B39" s="888"/>
      <c r="C39" s="888"/>
      <c r="D39" s="888"/>
      <c r="E39" s="888"/>
      <c r="F39" s="888"/>
      <c r="G39" s="888"/>
      <c r="H39" s="888"/>
      <c r="I39" s="888"/>
      <c r="J39" s="888"/>
      <c r="K39" s="888"/>
      <c r="L39" s="889"/>
      <c r="S39" s="11" t="s">
        <v>308</v>
      </c>
    </row>
    <row r="40" spans="1:22" ht="13.5" customHeight="1" x14ac:dyDescent="0.2">
      <c r="A40" s="879">
        <v>4</v>
      </c>
      <c r="B40" s="888"/>
      <c r="C40" s="888"/>
      <c r="D40" s="888"/>
      <c r="E40" s="888"/>
      <c r="F40" s="888"/>
      <c r="G40" s="888"/>
      <c r="H40" s="888"/>
      <c r="I40" s="888"/>
      <c r="J40" s="888"/>
      <c r="K40" s="888"/>
      <c r="L40" s="889"/>
      <c r="S40" s="11" t="s">
        <v>309</v>
      </c>
    </row>
    <row r="41" spans="1:22" ht="15.75" thickBot="1" x14ac:dyDescent="0.25">
      <c r="A41" s="881"/>
      <c r="B41" s="890"/>
      <c r="C41" s="890"/>
      <c r="D41" s="890"/>
      <c r="E41" s="890"/>
      <c r="F41" s="890"/>
      <c r="G41" s="890"/>
      <c r="H41" s="890"/>
      <c r="I41" s="890"/>
      <c r="J41" s="890"/>
      <c r="K41" s="890"/>
      <c r="L41" s="891"/>
      <c r="S41" s="11" t="s">
        <v>310</v>
      </c>
    </row>
    <row r="42" spans="1:22" ht="8.1" customHeight="1" thickTop="1" x14ac:dyDescent="0.2">
      <c r="A42" s="38"/>
      <c r="B42" s="454"/>
      <c r="C42" s="454"/>
      <c r="D42" s="454"/>
      <c r="E42" s="454"/>
      <c r="F42" s="454"/>
      <c r="G42" s="454"/>
      <c r="H42" s="454"/>
      <c r="I42" s="454"/>
      <c r="J42" s="454"/>
      <c r="K42" s="454"/>
      <c r="L42" s="454"/>
      <c r="S42" s="11" t="s">
        <v>311</v>
      </c>
    </row>
    <row r="43" spans="1:22" ht="8.1" customHeight="1" x14ac:dyDescent="0.2">
      <c r="A43" s="39"/>
      <c r="B43" s="452"/>
      <c r="C43" s="452"/>
      <c r="D43" s="452"/>
      <c r="E43" s="452"/>
      <c r="F43" s="452"/>
      <c r="G43" s="452"/>
      <c r="H43" s="452"/>
      <c r="I43" s="452"/>
      <c r="J43" s="452"/>
      <c r="K43" s="452"/>
      <c r="L43" s="452"/>
      <c r="S43" s="11" t="s">
        <v>312</v>
      </c>
    </row>
    <row r="44" spans="1:22" ht="16.5" customHeight="1" x14ac:dyDescent="0.2">
      <c r="A44" s="504" t="s">
        <v>313</v>
      </c>
      <c r="B44" s="504"/>
      <c r="C44" s="504"/>
      <c r="D44" s="504"/>
      <c r="E44" s="504"/>
      <c r="F44" s="504"/>
      <c r="G44" s="504"/>
      <c r="H44" s="504"/>
      <c r="I44" s="504"/>
      <c r="J44" s="504"/>
      <c r="K44" s="504"/>
      <c r="L44" s="504"/>
    </row>
    <row r="45" spans="1:22" ht="6" customHeight="1" thickBot="1" x14ac:dyDescent="0.3">
      <c r="A45" s="500"/>
      <c r="B45" s="500"/>
      <c r="C45" s="500"/>
      <c r="D45" s="500"/>
      <c r="E45" s="500"/>
      <c r="F45" s="500"/>
      <c r="G45" s="500"/>
      <c r="H45" s="500"/>
      <c r="I45" s="500"/>
      <c r="J45" s="500"/>
      <c r="K45" s="500"/>
      <c r="L45" s="500"/>
    </row>
    <row r="46" spans="1:22" ht="13.5" thickTop="1" x14ac:dyDescent="0.2">
      <c r="A46" s="884">
        <v>1</v>
      </c>
      <c r="B46" s="875"/>
      <c r="C46" s="875"/>
      <c r="D46" s="875"/>
      <c r="E46" s="875"/>
      <c r="F46" s="875"/>
      <c r="G46" s="875"/>
      <c r="H46" s="875"/>
      <c r="I46" s="875"/>
      <c r="J46" s="875"/>
      <c r="K46" s="875"/>
      <c r="L46" s="876"/>
    </row>
    <row r="47" spans="1:22" x14ac:dyDescent="0.2">
      <c r="A47" s="879"/>
      <c r="B47" s="877"/>
      <c r="C47" s="877"/>
      <c r="D47" s="877"/>
      <c r="E47" s="877"/>
      <c r="F47" s="877"/>
      <c r="G47" s="877"/>
      <c r="H47" s="877"/>
      <c r="I47" s="877"/>
      <c r="J47" s="877"/>
      <c r="K47" s="877"/>
      <c r="L47" s="878"/>
    </row>
    <row r="48" spans="1:22" x14ac:dyDescent="0.2">
      <c r="A48" s="879">
        <v>2</v>
      </c>
      <c r="B48" s="877"/>
      <c r="C48" s="877"/>
      <c r="D48" s="877"/>
      <c r="E48" s="877"/>
      <c r="F48" s="877"/>
      <c r="G48" s="877"/>
      <c r="H48" s="877"/>
      <c r="I48" s="877"/>
      <c r="J48" s="877"/>
      <c r="K48" s="877"/>
      <c r="L48" s="878"/>
    </row>
    <row r="49" spans="1:12" x14ac:dyDescent="0.2">
      <c r="A49" s="879"/>
      <c r="B49" s="877"/>
      <c r="C49" s="877"/>
      <c r="D49" s="877"/>
      <c r="E49" s="877"/>
      <c r="F49" s="877"/>
      <c r="G49" s="877"/>
      <c r="H49" s="877"/>
      <c r="I49" s="877"/>
      <c r="J49" s="877"/>
      <c r="K49" s="877"/>
      <c r="L49" s="878"/>
    </row>
    <row r="50" spans="1:12" x14ac:dyDescent="0.2">
      <c r="A50" s="879">
        <v>3</v>
      </c>
      <c r="B50" s="877"/>
      <c r="C50" s="877"/>
      <c r="D50" s="877"/>
      <c r="E50" s="877"/>
      <c r="F50" s="877"/>
      <c r="G50" s="877"/>
      <c r="H50" s="877"/>
      <c r="I50" s="877"/>
      <c r="J50" s="877"/>
      <c r="K50" s="877"/>
      <c r="L50" s="878"/>
    </row>
    <row r="51" spans="1:12" ht="13.5" customHeight="1" x14ac:dyDescent="0.2">
      <c r="A51" s="879"/>
      <c r="B51" s="877"/>
      <c r="C51" s="877"/>
      <c r="D51" s="877"/>
      <c r="E51" s="877"/>
      <c r="F51" s="877"/>
      <c r="G51" s="877"/>
      <c r="H51" s="877"/>
      <c r="I51" s="877"/>
      <c r="J51" s="877"/>
      <c r="K51" s="877"/>
      <c r="L51" s="878"/>
    </row>
    <row r="52" spans="1:12" ht="18" customHeight="1" x14ac:dyDescent="0.2">
      <c r="A52" s="879">
        <v>4</v>
      </c>
      <c r="B52" s="877"/>
      <c r="C52" s="877"/>
      <c r="D52" s="877"/>
      <c r="E52" s="877"/>
      <c r="F52" s="877"/>
      <c r="G52" s="877"/>
      <c r="H52" s="877"/>
      <c r="I52" s="877"/>
      <c r="J52" s="877"/>
      <c r="K52" s="877"/>
      <c r="L52" s="878"/>
    </row>
    <row r="53" spans="1:12" ht="13.5" customHeight="1" thickBot="1" x14ac:dyDescent="0.25">
      <c r="A53" s="881"/>
      <c r="B53" s="882"/>
      <c r="C53" s="882"/>
      <c r="D53" s="882"/>
      <c r="E53" s="882"/>
      <c r="F53" s="882"/>
      <c r="G53" s="882"/>
      <c r="H53" s="882"/>
      <c r="I53" s="882"/>
      <c r="J53" s="882"/>
      <c r="K53" s="882"/>
      <c r="L53" s="883"/>
    </row>
    <row r="54" spans="1:12" ht="13.5" customHeight="1" thickTop="1" x14ac:dyDescent="0.2">
      <c r="A54" s="38"/>
      <c r="B54" s="880"/>
      <c r="C54" s="880"/>
      <c r="D54" s="880"/>
      <c r="E54" s="880"/>
      <c r="F54" s="880"/>
      <c r="G54" s="880"/>
      <c r="H54" s="880"/>
      <c r="I54" s="880"/>
      <c r="J54" s="880"/>
      <c r="K54" s="880"/>
      <c r="L54" s="880"/>
    </row>
    <row r="55" spans="1:12" ht="13.5" customHeight="1" x14ac:dyDescent="0.2">
      <c r="A55" s="39"/>
      <c r="B55" s="873"/>
      <c r="C55" s="873"/>
      <c r="D55" s="873"/>
      <c r="E55" s="873"/>
      <c r="F55" s="873"/>
      <c r="G55" s="873"/>
      <c r="H55" s="873"/>
      <c r="I55" s="873"/>
      <c r="J55" s="873"/>
      <c r="K55" s="873"/>
      <c r="L55" s="873"/>
    </row>
    <row r="56" spans="1:12" ht="13.5" customHeight="1" x14ac:dyDescent="0.2">
      <c r="A56" s="874"/>
      <c r="B56" s="873"/>
      <c r="C56" s="873"/>
      <c r="D56" s="873"/>
      <c r="E56" s="873"/>
      <c r="F56" s="873"/>
      <c r="G56" s="873"/>
      <c r="H56" s="873"/>
      <c r="I56" s="873"/>
      <c r="J56" s="873"/>
      <c r="K56" s="873"/>
      <c r="L56" s="873"/>
    </row>
    <row r="57" spans="1:12" ht="13.5" customHeight="1" x14ac:dyDescent="0.2">
      <c r="A57" s="874"/>
      <c r="B57" s="873"/>
      <c r="C57" s="873"/>
      <c r="D57" s="873"/>
      <c r="E57" s="873"/>
      <c r="F57" s="873"/>
      <c r="G57" s="873"/>
      <c r="H57" s="873"/>
      <c r="I57" s="873"/>
      <c r="J57" s="873"/>
      <c r="K57" s="873"/>
      <c r="L57" s="873"/>
    </row>
    <row r="58" spans="1:12" ht="13.5" customHeight="1" x14ac:dyDescent="0.2"/>
    <row r="59" spans="1:12" x14ac:dyDescent="0.2">
      <c r="A59" s="1"/>
    </row>
  </sheetData>
  <mergeCells count="84">
    <mergeCell ref="R35:V35"/>
    <mergeCell ref="K27:L29"/>
    <mergeCell ref="I27:J29"/>
    <mergeCell ref="A33:L33"/>
    <mergeCell ref="B29:C29"/>
    <mergeCell ref="B30:C30"/>
    <mergeCell ref="B31:C31"/>
    <mergeCell ref="F31:J31"/>
    <mergeCell ref="A44:L44"/>
    <mergeCell ref="B35:L35"/>
    <mergeCell ref="A36:A37"/>
    <mergeCell ref="B36:L37"/>
    <mergeCell ref="A38:A39"/>
    <mergeCell ref="A40:A41"/>
    <mergeCell ref="B38:L39"/>
    <mergeCell ref="B40:L41"/>
    <mergeCell ref="B56:L57"/>
    <mergeCell ref="A45:L45"/>
    <mergeCell ref="A56:A57"/>
    <mergeCell ref="B46:L47"/>
    <mergeCell ref="B48:L49"/>
    <mergeCell ref="A50:A51"/>
    <mergeCell ref="B54:L54"/>
    <mergeCell ref="A52:A53"/>
    <mergeCell ref="B55:L55"/>
    <mergeCell ref="B52:L53"/>
    <mergeCell ref="A48:A49"/>
    <mergeCell ref="A46:A47"/>
    <mergeCell ref="B50:L51"/>
    <mergeCell ref="D16:I16"/>
    <mergeCell ref="F10:G10"/>
    <mergeCell ref="J12:K12"/>
    <mergeCell ref="J1:L1"/>
    <mergeCell ref="J2:L2"/>
    <mergeCell ref="C1:F1"/>
    <mergeCell ref="B2:C2"/>
    <mergeCell ref="E2:F2"/>
    <mergeCell ref="A1:B1"/>
    <mergeCell ref="A4:L4"/>
    <mergeCell ref="F6:G6"/>
    <mergeCell ref="B8:C8"/>
    <mergeCell ref="F8:G8"/>
    <mergeCell ref="J8:K8"/>
    <mergeCell ref="B11:C11"/>
    <mergeCell ref="B14:C14"/>
    <mergeCell ref="K22:L22"/>
    <mergeCell ref="F22:G22"/>
    <mergeCell ref="B22:C25"/>
    <mergeCell ref="I25:J25"/>
    <mergeCell ref="K25:L25"/>
    <mergeCell ref="D24:E24"/>
    <mergeCell ref="F25:G25"/>
    <mergeCell ref="J14:K14"/>
    <mergeCell ref="D25:E25"/>
    <mergeCell ref="I22:J22"/>
    <mergeCell ref="F24:G24"/>
    <mergeCell ref="K23:L23"/>
    <mergeCell ref="I24:J24"/>
    <mergeCell ref="K24:L24"/>
    <mergeCell ref="F14:G14"/>
    <mergeCell ref="D17:I17"/>
    <mergeCell ref="I23:J23"/>
    <mergeCell ref="D22:E22"/>
    <mergeCell ref="D23:E23"/>
    <mergeCell ref="D18:I18"/>
    <mergeCell ref="B21:G21"/>
    <mergeCell ref="I21:L21"/>
    <mergeCell ref="F23:G23"/>
    <mergeCell ref="B6:C6"/>
    <mergeCell ref="J6:K6"/>
    <mergeCell ref="F9:G9"/>
    <mergeCell ref="F13:G13"/>
    <mergeCell ref="F12:G12"/>
    <mergeCell ref="B7:C7"/>
    <mergeCell ref="F7:G7"/>
    <mergeCell ref="J13:K13"/>
    <mergeCell ref="B9:C9"/>
    <mergeCell ref="B10:C10"/>
    <mergeCell ref="B12:C12"/>
    <mergeCell ref="B13:C13"/>
    <mergeCell ref="F11:G11"/>
    <mergeCell ref="J11:K11"/>
    <mergeCell ref="J9:K9"/>
    <mergeCell ref="J10:K10"/>
  </mergeCells>
  <phoneticPr fontId="0" type="noConversion"/>
  <conditionalFormatting sqref="B35:L35">
    <cfRule type="cellIs" dxfId="203" priority="1" operator="equal">
      <formula>""</formula>
    </cfRule>
  </conditionalFormatting>
  <dataValidations count="1">
    <dataValidation type="list" allowBlank="1" showInputMessage="1" showErrorMessage="1" sqref="B35:L35" xr:uid="{00000000-0002-0000-0900-000000000000}">
      <formula1>phasing</formula1>
    </dataValidation>
  </dataValidations>
  <printOptions horizontalCentered="1"/>
  <pageMargins left="0.39370078740157483" right="0.39370078740157483" top="0.39370078740157483" bottom="0" header="0.39370078740157483" footer="0.39370078740157483"/>
  <pageSetup paperSize="9" scale="90" orientation="portrait" r:id="rId1"/>
  <headerFooter alignWithMargins="0">
    <oddFooter>&amp;L&amp;A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1"/>
  <dimension ref="A1:AI65"/>
  <sheetViews>
    <sheetView showGridLines="0" zoomScale="80" zoomScaleNormal="100" zoomScaleSheetLayoutView="100" workbookViewId="0">
      <selection activeCell="I33" sqref="I33"/>
    </sheetView>
  </sheetViews>
  <sheetFormatPr defaultRowHeight="12.75" x14ac:dyDescent="0.2"/>
  <cols>
    <col min="1" max="1" width="7.28515625" customWidth="1"/>
    <col min="2" max="2" width="11.5703125" customWidth="1"/>
    <col min="4" max="4" width="5.5703125" customWidth="1"/>
    <col min="7" max="7" width="11.85546875" customWidth="1"/>
    <col min="11" max="11" width="3" customWidth="1"/>
    <col min="12" max="12" width="5.7109375" customWidth="1"/>
    <col min="13" max="32" width="4.7109375" customWidth="1"/>
    <col min="35" max="35" width="0" hidden="1" customWidth="1"/>
  </cols>
  <sheetData>
    <row r="1" spans="1:35" ht="15" x14ac:dyDescent="0.25">
      <c r="A1" s="509" t="s">
        <v>2</v>
      </c>
      <c r="B1" s="510"/>
      <c r="C1" s="618" t="str">
        <f>'1 - Cover'!C4</f>
        <v>Naylor / Galloway</v>
      </c>
      <c r="D1" s="618"/>
      <c r="E1" s="618"/>
      <c r="F1" s="618"/>
      <c r="G1" s="237"/>
      <c r="H1" s="256" t="s">
        <v>4</v>
      </c>
      <c r="I1" s="755">
        <f>'1 - Cover'!H4</f>
        <v>36</v>
      </c>
      <c r="J1" s="756"/>
      <c r="L1" s="509" t="s">
        <v>2</v>
      </c>
      <c r="M1" s="510"/>
      <c r="N1" s="755" t="str">
        <f>'1 - Cover'!C4</f>
        <v>Naylor / Galloway</v>
      </c>
      <c r="O1" s="755"/>
      <c r="P1" s="755"/>
      <c r="Q1" s="755"/>
      <c r="R1" s="755"/>
      <c r="S1" s="755"/>
      <c r="T1" s="755"/>
      <c r="U1" s="755"/>
      <c r="V1" s="237"/>
      <c r="W1" s="237"/>
      <c r="X1" s="265"/>
      <c r="Y1" s="265"/>
      <c r="Z1" s="265"/>
      <c r="AA1" s="510" t="s">
        <v>4</v>
      </c>
      <c r="AB1" s="510"/>
      <c r="AC1" s="510"/>
      <c r="AD1" s="921">
        <f>'1 - Cover'!H4</f>
        <v>36</v>
      </c>
      <c r="AE1" s="921"/>
      <c r="AF1" s="922"/>
    </row>
    <row r="2" spans="1:35" ht="15.75" thickBot="1" x14ac:dyDescent="0.3">
      <c r="A2" s="234" t="s">
        <v>5</v>
      </c>
      <c r="B2" s="965">
        <f>'1 - Cover'!B5</f>
        <v>43546</v>
      </c>
      <c r="C2" s="532"/>
      <c r="D2" s="264"/>
      <c r="E2" s="235" t="s">
        <v>6</v>
      </c>
      <c r="F2" s="238" t="str">
        <f>'1 - Cover'!E5</f>
        <v>3d</v>
      </c>
      <c r="G2" s="239"/>
      <c r="H2" s="236" t="s">
        <v>8</v>
      </c>
      <c r="I2" s="629" t="str">
        <f>'1 - Cover'!H5</f>
        <v>R Thomson</v>
      </c>
      <c r="J2" s="630"/>
      <c r="L2" s="258" t="s">
        <v>5</v>
      </c>
      <c r="M2" s="805">
        <f>'1 - Cover'!B5</f>
        <v>43546</v>
      </c>
      <c r="N2" s="805"/>
      <c r="O2" s="805"/>
      <c r="P2" s="916"/>
      <c r="Q2" s="916"/>
      <c r="R2" s="916"/>
      <c r="S2" s="916"/>
      <c r="T2" s="266"/>
      <c r="U2" s="266"/>
      <c r="V2" s="236" t="s">
        <v>6</v>
      </c>
      <c r="W2" s="266" t="str">
        <f>'1 - Cover'!E5</f>
        <v>3d</v>
      </c>
      <c r="X2" s="266"/>
      <c r="Y2" s="266"/>
      <c r="Z2" s="266"/>
      <c r="AA2" s="266"/>
      <c r="AB2" s="267" t="s">
        <v>8</v>
      </c>
      <c r="AC2" s="919" t="str">
        <f>'1 - Cover'!H5</f>
        <v>R Thomson</v>
      </c>
      <c r="AD2" s="919"/>
      <c r="AE2" s="919"/>
      <c r="AF2" s="920"/>
    </row>
    <row r="3" spans="1:35" ht="8.1" customHeight="1" x14ac:dyDescent="0.2"/>
    <row r="4" spans="1:35" ht="18" x14ac:dyDescent="0.25">
      <c r="A4" s="35"/>
      <c r="B4" s="35"/>
      <c r="C4" s="500" t="s">
        <v>314</v>
      </c>
      <c r="D4" s="500"/>
      <c r="E4" s="500"/>
      <c r="F4" s="500"/>
      <c r="G4" s="500"/>
      <c r="H4" s="500" t="str">
        <f>'3 - Signal Group Info'!D41</f>
        <v>ABCD</v>
      </c>
      <c r="I4" s="500"/>
      <c r="J4" s="500"/>
      <c r="K4" s="8"/>
      <c r="L4" s="77" t="s">
        <v>315</v>
      </c>
      <c r="R4" s="313" t="s">
        <v>316</v>
      </c>
      <c r="U4" s="200">
        <v>1</v>
      </c>
      <c r="Y4" s="313"/>
      <c r="AI4" t="str">
        <f>'1 - Cover'!H6</f>
        <v>XLOSM</v>
      </c>
    </row>
    <row r="5" spans="1:35" ht="13.5" thickBot="1" x14ac:dyDescent="0.25">
      <c r="B5" s="9"/>
    </row>
    <row r="6" spans="1:35" ht="13.5" customHeight="1" thickTop="1" x14ac:dyDescent="0.2">
      <c r="A6" s="966" t="s">
        <v>82</v>
      </c>
      <c r="B6" s="967"/>
      <c r="C6" s="967"/>
      <c r="D6" s="967"/>
      <c r="E6" s="951" t="s">
        <v>317</v>
      </c>
      <c r="F6" s="952"/>
      <c r="G6" s="970"/>
      <c r="H6" s="955" t="s">
        <v>318</v>
      </c>
      <c r="I6" s="956"/>
      <c r="J6" s="957"/>
      <c r="L6" s="83" t="s">
        <v>319</v>
      </c>
      <c r="M6" s="84" t="s">
        <v>320</v>
      </c>
      <c r="N6" s="84" t="s">
        <v>44</v>
      </c>
      <c r="O6" s="84" t="s">
        <v>45</v>
      </c>
      <c r="P6" s="84" t="s">
        <v>50</v>
      </c>
      <c r="Q6" s="84" t="s">
        <v>46</v>
      </c>
      <c r="R6" s="84" t="s">
        <v>47</v>
      </c>
      <c r="S6" s="84" t="s">
        <v>321</v>
      </c>
      <c r="T6" s="84" t="s">
        <v>48</v>
      </c>
      <c r="U6" s="84" t="s">
        <v>322</v>
      </c>
      <c r="V6" s="84" t="s">
        <v>323</v>
      </c>
      <c r="W6" s="84" t="s">
        <v>324</v>
      </c>
      <c r="X6" s="84" t="s">
        <v>325</v>
      </c>
      <c r="Y6" s="84" t="s">
        <v>326</v>
      </c>
      <c r="Z6" s="84" t="s">
        <v>327</v>
      </c>
      <c r="AA6" s="84" t="s">
        <v>328</v>
      </c>
      <c r="AB6" s="84" t="s">
        <v>329</v>
      </c>
      <c r="AC6" s="917" t="s">
        <v>330</v>
      </c>
      <c r="AD6" s="918"/>
      <c r="AE6" s="85"/>
      <c r="AF6" s="85"/>
    </row>
    <row r="7" spans="1:35" ht="26.25" customHeight="1" thickBot="1" x14ac:dyDescent="0.25">
      <c r="A7" s="968"/>
      <c r="B7" s="969"/>
      <c r="C7" s="969"/>
      <c r="D7" s="969"/>
      <c r="E7" s="953"/>
      <c r="F7" s="954"/>
      <c r="G7" s="971"/>
      <c r="H7" s="958" t="s">
        <v>331</v>
      </c>
      <c r="I7" s="959"/>
      <c r="J7" s="960"/>
      <c r="L7" s="123">
        <v>0</v>
      </c>
      <c r="M7" s="124"/>
      <c r="N7" s="124"/>
      <c r="O7" s="124"/>
      <c r="P7" s="124"/>
      <c r="Q7" s="124"/>
      <c r="R7" s="124"/>
      <c r="S7" s="124"/>
      <c r="T7" s="124"/>
      <c r="U7" s="124"/>
      <c r="V7" s="124"/>
      <c r="W7" s="124"/>
      <c r="X7" s="124"/>
      <c r="Y7" s="124"/>
      <c r="Z7" s="124"/>
      <c r="AA7" s="124"/>
      <c r="AB7" s="124"/>
      <c r="AC7" s="125"/>
      <c r="AD7" s="126"/>
      <c r="AE7" s="85"/>
      <c r="AF7" s="85"/>
    </row>
    <row r="8" spans="1:35" ht="15.75" thickTop="1" x14ac:dyDescent="0.2">
      <c r="A8" s="975" t="str">
        <f>'4 - Phase Control'!A8:B8</f>
        <v>A</v>
      </c>
      <c r="B8" s="976"/>
      <c r="C8" s="976"/>
      <c r="D8" s="976"/>
      <c r="E8" s="950" t="s">
        <v>332</v>
      </c>
      <c r="F8" s="950"/>
      <c r="G8" s="950"/>
      <c r="H8" s="950" t="s">
        <v>322</v>
      </c>
      <c r="I8" s="950"/>
      <c r="J8" s="964"/>
      <c r="L8" s="86">
        <v>1</v>
      </c>
      <c r="M8" s="87"/>
      <c r="N8" s="87"/>
      <c r="O8" s="87"/>
      <c r="P8" s="87"/>
      <c r="Q8" s="87"/>
      <c r="R8" s="87"/>
      <c r="S8" s="87"/>
      <c r="T8" s="87"/>
      <c r="U8" s="87"/>
      <c r="V8" s="87"/>
      <c r="W8" s="87"/>
      <c r="X8" s="87"/>
      <c r="Y8" s="87"/>
      <c r="Z8" s="87"/>
      <c r="AA8" s="87"/>
      <c r="AB8" s="87"/>
      <c r="AC8" s="912"/>
      <c r="AD8" s="913"/>
      <c r="AE8" s="85"/>
      <c r="AF8" s="85"/>
    </row>
    <row r="9" spans="1:35" ht="15" x14ac:dyDescent="0.2">
      <c r="A9" s="961" t="str">
        <f>'4 - Phase Control'!A9:B9</f>
        <v>B</v>
      </c>
      <c r="B9" s="962"/>
      <c r="C9" s="962"/>
      <c r="D9" s="963"/>
      <c r="E9" s="947" t="s">
        <v>333</v>
      </c>
      <c r="F9" s="947"/>
      <c r="G9" s="947"/>
      <c r="H9" s="948" t="s">
        <v>323</v>
      </c>
      <c r="I9" s="948"/>
      <c r="J9" s="949"/>
      <c r="L9" s="86">
        <v>2</v>
      </c>
      <c r="M9" s="87"/>
      <c r="N9" s="87"/>
      <c r="O9" s="87"/>
      <c r="P9" s="87"/>
      <c r="Q9" s="87"/>
      <c r="R9" s="87"/>
      <c r="S9" s="87"/>
      <c r="T9" s="87"/>
      <c r="U9" s="87"/>
      <c r="V9" s="87"/>
      <c r="W9" s="87"/>
      <c r="X9" s="87"/>
      <c r="Y9" s="87"/>
      <c r="Z9" s="87"/>
      <c r="AA9" s="87"/>
      <c r="AB9" s="87"/>
      <c r="AC9" s="912"/>
      <c r="AD9" s="913"/>
      <c r="AE9" s="85"/>
      <c r="AF9" s="85"/>
    </row>
    <row r="10" spans="1:35" ht="15" x14ac:dyDescent="0.2">
      <c r="A10" s="961" t="str">
        <f>'4 - Phase Control'!A10:B10</f>
        <v>C</v>
      </c>
      <c r="B10" s="962"/>
      <c r="C10" s="962"/>
      <c r="D10" s="963"/>
      <c r="E10" s="947" t="s">
        <v>334</v>
      </c>
      <c r="F10" s="947"/>
      <c r="G10" s="947"/>
      <c r="H10" s="948" t="s">
        <v>328</v>
      </c>
      <c r="I10" s="948"/>
      <c r="J10" s="949"/>
      <c r="L10" s="86">
        <v>3</v>
      </c>
      <c r="M10" s="87"/>
      <c r="N10" s="87"/>
      <c r="O10" s="87"/>
      <c r="P10" s="87"/>
      <c r="Q10" s="87"/>
      <c r="R10" s="87"/>
      <c r="S10" s="87"/>
      <c r="T10" s="87"/>
      <c r="U10" s="87"/>
      <c r="V10" s="87"/>
      <c r="W10" s="87"/>
      <c r="X10" s="87"/>
      <c r="Y10" s="87"/>
      <c r="Z10" s="87"/>
      <c r="AA10" s="87"/>
      <c r="AB10" s="87"/>
      <c r="AC10" s="912"/>
      <c r="AD10" s="913"/>
      <c r="AE10" s="85"/>
      <c r="AF10" s="85"/>
    </row>
    <row r="11" spans="1:35" ht="15" x14ac:dyDescent="0.2">
      <c r="A11" s="961" t="str">
        <f>'4 - Phase Control'!A11:B11</f>
        <v>D</v>
      </c>
      <c r="B11" s="962"/>
      <c r="C11" s="962"/>
      <c r="D11" s="963"/>
      <c r="E11" s="948" t="s">
        <v>44</v>
      </c>
      <c r="F11" s="948"/>
      <c r="G11" s="948"/>
      <c r="H11" s="948" t="s">
        <v>329</v>
      </c>
      <c r="I11" s="948"/>
      <c r="J11" s="949"/>
      <c r="L11" s="86">
        <v>4</v>
      </c>
      <c r="M11" s="87"/>
      <c r="N11" s="87"/>
      <c r="O11" s="87"/>
      <c r="P11" s="87"/>
      <c r="Q11" s="87"/>
      <c r="R11" s="87"/>
      <c r="S11" s="87"/>
      <c r="T11" s="87"/>
      <c r="U11" s="87"/>
      <c r="V11" s="87"/>
      <c r="W11" s="87"/>
      <c r="X11" s="87"/>
      <c r="Y11" s="87"/>
      <c r="Z11" s="87"/>
      <c r="AA11" s="87"/>
      <c r="AB11" s="87"/>
      <c r="AC11" s="912"/>
      <c r="AD11" s="913"/>
      <c r="AE11" s="85"/>
      <c r="AF11" s="85"/>
    </row>
    <row r="12" spans="1:35" ht="15" x14ac:dyDescent="0.2">
      <c r="A12" s="961" t="str">
        <f>'4 - Phase Control'!A12:B12</f>
        <v>E</v>
      </c>
      <c r="B12" s="962"/>
      <c r="C12" s="962"/>
      <c r="D12" s="963"/>
      <c r="E12" s="948"/>
      <c r="F12" s="948"/>
      <c r="G12" s="948"/>
      <c r="H12" s="948"/>
      <c r="I12" s="948"/>
      <c r="J12" s="949"/>
      <c r="L12" s="86">
        <v>5</v>
      </c>
      <c r="M12" s="87"/>
      <c r="N12" s="87"/>
      <c r="O12" s="87"/>
      <c r="P12" s="87"/>
      <c r="Q12" s="87"/>
      <c r="R12" s="87"/>
      <c r="S12" s="87"/>
      <c r="T12" s="87"/>
      <c r="U12" s="87"/>
      <c r="V12" s="87"/>
      <c r="W12" s="87"/>
      <c r="X12" s="87"/>
      <c r="Y12" s="87"/>
      <c r="Z12" s="87"/>
      <c r="AA12" s="87"/>
      <c r="AB12" s="87"/>
      <c r="AC12" s="912"/>
      <c r="AD12" s="913"/>
      <c r="AE12" s="85"/>
      <c r="AF12" s="85"/>
    </row>
    <row r="13" spans="1:35" ht="15" x14ac:dyDescent="0.2">
      <c r="A13" s="961" t="str">
        <f>'4 - Phase Control'!A13:B13</f>
        <v>F</v>
      </c>
      <c r="B13" s="962"/>
      <c r="C13" s="962"/>
      <c r="D13" s="963"/>
      <c r="E13" s="947"/>
      <c r="F13" s="947"/>
      <c r="G13" s="947"/>
      <c r="H13" s="948"/>
      <c r="I13" s="948"/>
      <c r="J13" s="949"/>
      <c r="L13" s="86">
        <v>6</v>
      </c>
      <c r="M13" s="87"/>
      <c r="N13" s="87"/>
      <c r="O13" s="87"/>
      <c r="P13" s="87"/>
      <c r="Q13" s="87"/>
      <c r="R13" s="87"/>
      <c r="S13" s="87"/>
      <c r="T13" s="87"/>
      <c r="U13" s="87"/>
      <c r="V13" s="87"/>
      <c r="W13" s="87"/>
      <c r="X13" s="87"/>
      <c r="Y13" s="87"/>
      <c r="Z13" s="87"/>
      <c r="AA13" s="87"/>
      <c r="AB13" s="87"/>
      <c r="AC13" s="912"/>
      <c r="AD13" s="913"/>
      <c r="AE13" s="85"/>
      <c r="AF13" s="85"/>
    </row>
    <row r="14" spans="1:35" ht="15.75" customHeight="1" thickBot="1" x14ac:dyDescent="0.25">
      <c r="A14" s="961" t="str">
        <f>'4 - Phase Control'!A14:B14</f>
        <v>G</v>
      </c>
      <c r="B14" s="962"/>
      <c r="C14" s="962"/>
      <c r="D14" s="963"/>
      <c r="E14" s="945"/>
      <c r="F14" s="945"/>
      <c r="G14" s="945"/>
      <c r="H14" s="945"/>
      <c r="I14" s="945"/>
      <c r="J14" s="946"/>
      <c r="L14" s="86">
        <v>7</v>
      </c>
      <c r="M14" s="87"/>
      <c r="N14" s="87"/>
      <c r="O14" s="87"/>
      <c r="P14" s="87"/>
      <c r="Q14" s="87"/>
      <c r="R14" s="87"/>
      <c r="S14" s="87"/>
      <c r="T14" s="87"/>
      <c r="U14" s="87"/>
      <c r="V14" s="87"/>
      <c r="W14" s="87"/>
      <c r="X14" s="87"/>
      <c r="Y14" s="87"/>
      <c r="Z14" s="87"/>
      <c r="AA14" s="87"/>
      <c r="AB14" s="87"/>
      <c r="AC14" s="912"/>
      <c r="AD14" s="913"/>
      <c r="AE14" s="85"/>
      <c r="AF14" s="85"/>
    </row>
    <row r="15" spans="1:35" ht="15.75" customHeight="1" thickTop="1" x14ac:dyDescent="0.2">
      <c r="A15" t="s">
        <v>335</v>
      </c>
      <c r="L15" s="86">
        <v>8</v>
      </c>
      <c r="M15" s="87"/>
      <c r="N15" s="87"/>
      <c r="O15" s="87"/>
      <c r="P15" s="87"/>
      <c r="Q15" s="87"/>
      <c r="R15" s="87"/>
      <c r="S15" s="87"/>
      <c r="T15" s="87"/>
      <c r="U15" s="87"/>
      <c r="V15" s="87"/>
      <c r="W15" s="87"/>
      <c r="X15" s="87"/>
      <c r="Y15" s="87"/>
      <c r="Z15" s="87"/>
      <c r="AA15" s="87"/>
      <c r="AB15" s="87"/>
      <c r="AC15" s="912"/>
      <c r="AD15" s="913"/>
      <c r="AE15" s="85"/>
      <c r="AF15" s="85"/>
    </row>
    <row r="16" spans="1:35" ht="15.75" customHeight="1" x14ac:dyDescent="0.2">
      <c r="L16" s="86">
        <v>9</v>
      </c>
      <c r="M16" s="87"/>
      <c r="N16" s="87"/>
      <c r="O16" s="87"/>
      <c r="P16" s="87"/>
      <c r="Q16" s="87"/>
      <c r="R16" s="87"/>
      <c r="S16" s="87"/>
      <c r="T16" s="87"/>
      <c r="U16" s="87"/>
      <c r="V16" s="87"/>
      <c r="W16" s="87"/>
      <c r="X16" s="87"/>
      <c r="Y16" s="87"/>
      <c r="Z16" s="87"/>
      <c r="AA16" s="87"/>
      <c r="AB16" s="87"/>
      <c r="AC16" s="912"/>
      <c r="AD16" s="913"/>
      <c r="AE16" s="85"/>
      <c r="AF16" s="85"/>
    </row>
    <row r="17" spans="1:32" ht="15.75" customHeight="1" thickBot="1" x14ac:dyDescent="0.25">
      <c r="L17" s="88">
        <v>10</v>
      </c>
      <c r="M17" s="89"/>
      <c r="N17" s="89"/>
      <c r="O17" s="89"/>
      <c r="P17" s="89"/>
      <c r="Q17" s="89"/>
      <c r="R17" s="89"/>
      <c r="S17" s="89"/>
      <c r="T17" s="89"/>
      <c r="U17" s="89"/>
      <c r="V17" s="89"/>
      <c r="W17" s="89"/>
      <c r="X17" s="89"/>
      <c r="Y17" s="89"/>
      <c r="Z17" s="89"/>
      <c r="AA17" s="89"/>
      <c r="AB17" s="89"/>
      <c r="AC17" s="914"/>
      <c r="AD17" s="915"/>
      <c r="AE17" s="85"/>
      <c r="AF17" s="85"/>
    </row>
    <row r="18" spans="1:32" ht="18" x14ac:dyDescent="0.25">
      <c r="A18" s="35"/>
      <c r="B18" s="313"/>
      <c r="C18" s="500" t="s">
        <v>336</v>
      </c>
      <c r="D18" s="500"/>
      <c r="E18" s="500"/>
      <c r="F18" s="500"/>
      <c r="G18" s="500"/>
      <c r="H18" s="500" t="str">
        <f>'3 - Signal Group Info'!N41</f>
        <v>CDAB</v>
      </c>
      <c r="I18" s="500"/>
      <c r="J18" s="500"/>
      <c r="L18" s="85"/>
      <c r="M18" s="85"/>
      <c r="N18" s="85"/>
      <c r="O18" s="85"/>
      <c r="P18" s="85"/>
      <c r="Q18" s="85"/>
      <c r="R18" s="85"/>
      <c r="S18" s="85"/>
      <c r="T18" s="85"/>
      <c r="U18" s="85"/>
      <c r="V18" s="85"/>
      <c r="W18" s="85"/>
      <c r="X18" s="85"/>
      <c r="Y18" s="85"/>
      <c r="Z18" s="85"/>
      <c r="AA18" s="85"/>
      <c r="AB18" s="85"/>
      <c r="AC18" s="85"/>
      <c r="AD18" s="85"/>
      <c r="AE18" s="85"/>
      <c r="AF18" s="85"/>
    </row>
    <row r="19" spans="1:32" ht="6" customHeight="1" thickBot="1" x14ac:dyDescent="0.25">
      <c r="B19" s="9"/>
      <c r="L19" s="85"/>
      <c r="M19" s="85"/>
      <c r="N19" s="85"/>
      <c r="O19" s="85"/>
      <c r="P19" s="85"/>
      <c r="Q19" s="85"/>
      <c r="R19" s="85"/>
      <c r="S19" s="85"/>
      <c r="T19" s="85"/>
      <c r="U19" s="85"/>
      <c r="V19" s="85"/>
      <c r="W19" s="85"/>
      <c r="X19" s="85"/>
      <c r="Y19" s="85"/>
      <c r="Z19" s="85"/>
      <c r="AA19" s="85"/>
      <c r="AB19" s="85"/>
      <c r="AC19" s="85"/>
      <c r="AD19" s="85"/>
      <c r="AE19" s="85"/>
      <c r="AF19" s="85"/>
    </row>
    <row r="20" spans="1:32" ht="16.5" thickTop="1" x14ac:dyDescent="0.2">
      <c r="A20" s="966" t="s">
        <v>82</v>
      </c>
      <c r="B20" s="967"/>
      <c r="C20" s="967"/>
      <c r="D20" s="967"/>
      <c r="E20" s="951" t="s">
        <v>317</v>
      </c>
      <c r="F20" s="952"/>
      <c r="G20" s="952"/>
      <c r="H20" s="955" t="s">
        <v>318</v>
      </c>
      <c r="I20" s="956"/>
      <c r="J20" s="957"/>
      <c r="L20" s="93" t="s">
        <v>337</v>
      </c>
      <c r="M20" s="85"/>
      <c r="N20" s="85"/>
      <c r="O20" s="85"/>
      <c r="P20" s="85"/>
      <c r="Q20" s="85"/>
      <c r="R20" s="85"/>
      <c r="S20" s="85"/>
      <c r="T20" s="85"/>
      <c r="U20" s="85"/>
      <c r="V20" s="85"/>
      <c r="W20" s="85"/>
      <c r="X20" s="85"/>
      <c r="Y20" s="85"/>
      <c r="Z20" s="85"/>
      <c r="AA20" s="85"/>
      <c r="AB20" s="85"/>
      <c r="AC20" s="85"/>
      <c r="AD20" s="85"/>
      <c r="AE20" s="85"/>
      <c r="AF20" s="85"/>
    </row>
    <row r="21" spans="1:32" ht="13.5" thickBot="1" x14ac:dyDescent="0.25">
      <c r="A21" s="968"/>
      <c r="B21" s="969"/>
      <c r="C21" s="969"/>
      <c r="D21" s="969"/>
      <c r="E21" s="953"/>
      <c r="F21" s="954"/>
      <c r="G21" s="954"/>
      <c r="H21" s="958" t="s">
        <v>331</v>
      </c>
      <c r="I21" s="959"/>
      <c r="J21" s="960"/>
      <c r="L21" s="85"/>
      <c r="M21" s="85"/>
      <c r="N21" s="85"/>
      <c r="O21" s="85"/>
      <c r="P21" s="85"/>
      <c r="Q21" s="85"/>
      <c r="R21" s="85"/>
      <c r="S21" s="85"/>
      <c r="T21" s="85"/>
      <c r="U21" s="85"/>
      <c r="V21" s="85"/>
      <c r="W21" s="85"/>
      <c r="X21" s="85"/>
      <c r="Y21" s="85"/>
      <c r="Z21" s="85"/>
      <c r="AA21" s="85"/>
      <c r="AB21" s="85"/>
      <c r="AC21" s="85"/>
      <c r="AD21" s="85"/>
      <c r="AE21" s="85"/>
      <c r="AF21" s="85"/>
    </row>
    <row r="22" spans="1:32" ht="15.75" thickTop="1" x14ac:dyDescent="0.2">
      <c r="A22" s="980" t="str">
        <f>A8</f>
        <v>A</v>
      </c>
      <c r="B22" s="981"/>
      <c r="C22" s="981"/>
      <c r="D22" s="981"/>
      <c r="E22" s="950" t="s">
        <v>338</v>
      </c>
      <c r="F22" s="950"/>
      <c r="G22" s="950"/>
      <c r="H22" s="950" t="str">
        <f>H8</f>
        <v>R-</v>
      </c>
      <c r="I22" s="950"/>
      <c r="J22" s="950"/>
      <c r="L22" s="83"/>
      <c r="M22" s="84">
        <v>1</v>
      </c>
      <c r="N22" s="84">
        <v>2</v>
      </c>
      <c r="O22" s="84">
        <v>3</v>
      </c>
      <c r="P22" s="84">
        <v>4</v>
      </c>
      <c r="Q22" s="84">
        <v>5</v>
      </c>
      <c r="R22" s="84">
        <v>6</v>
      </c>
      <c r="S22" s="84">
        <v>7</v>
      </c>
      <c r="T22" s="84">
        <v>8</v>
      </c>
      <c r="U22" s="84">
        <v>9</v>
      </c>
      <c r="V22" s="84">
        <v>10</v>
      </c>
      <c r="W22" s="84">
        <v>11</v>
      </c>
      <c r="X22" s="84">
        <v>12</v>
      </c>
      <c r="Y22" s="84">
        <v>13</v>
      </c>
      <c r="Z22" s="84">
        <v>14</v>
      </c>
      <c r="AA22" s="84">
        <v>15</v>
      </c>
      <c r="AB22" s="84">
        <v>16</v>
      </c>
      <c r="AC22" s="84">
        <v>17</v>
      </c>
      <c r="AD22" s="84">
        <v>18</v>
      </c>
      <c r="AE22" s="84">
        <v>19</v>
      </c>
      <c r="AF22" s="90">
        <v>20</v>
      </c>
    </row>
    <row r="23" spans="1:32" ht="15" x14ac:dyDescent="0.2">
      <c r="A23" s="937" t="str">
        <f t="shared" ref="A23:A28" si="0">A9</f>
        <v>B</v>
      </c>
      <c r="B23" s="938"/>
      <c r="C23" s="938"/>
      <c r="D23" s="938"/>
      <c r="E23" s="947" t="s">
        <v>50</v>
      </c>
      <c r="F23" s="947"/>
      <c r="G23" s="947"/>
      <c r="H23" s="947" t="str">
        <f>H9</f>
        <v>R+</v>
      </c>
      <c r="I23" s="947"/>
      <c r="J23" s="947"/>
      <c r="L23" s="86" t="s">
        <v>339</v>
      </c>
      <c r="M23" s="87"/>
      <c r="N23" s="87"/>
      <c r="O23" s="87"/>
      <c r="P23" s="87"/>
      <c r="Q23" s="87"/>
      <c r="R23" s="87"/>
      <c r="S23" s="87"/>
      <c r="T23" s="87"/>
      <c r="U23" s="87"/>
      <c r="V23" s="87"/>
      <c r="W23" s="87"/>
      <c r="X23" s="87"/>
      <c r="Y23" s="87"/>
      <c r="Z23" s="87"/>
      <c r="AA23" s="87"/>
      <c r="AB23" s="87"/>
      <c r="AC23" s="87"/>
      <c r="AD23" s="87"/>
      <c r="AE23" s="87"/>
      <c r="AF23" s="91"/>
    </row>
    <row r="24" spans="1:32" ht="15" x14ac:dyDescent="0.2">
      <c r="A24" s="937" t="str">
        <f t="shared" si="0"/>
        <v>C</v>
      </c>
      <c r="B24" s="938"/>
      <c r="C24" s="938"/>
      <c r="D24" s="938"/>
      <c r="E24" s="947" t="s">
        <v>332</v>
      </c>
      <c r="F24" s="947"/>
      <c r="G24" s="947"/>
      <c r="H24" s="947" t="s">
        <v>328</v>
      </c>
      <c r="I24" s="947"/>
      <c r="J24" s="947"/>
      <c r="L24" s="86" t="s">
        <v>340</v>
      </c>
      <c r="M24" s="87"/>
      <c r="N24" s="87"/>
      <c r="O24" s="87"/>
      <c r="P24" s="87"/>
      <c r="Q24" s="87"/>
      <c r="R24" s="87"/>
      <c r="S24" s="87"/>
      <c r="T24" s="87"/>
      <c r="U24" s="87"/>
      <c r="V24" s="87"/>
      <c r="W24" s="87"/>
      <c r="X24" s="87"/>
      <c r="Y24" s="87"/>
      <c r="Z24" s="87"/>
      <c r="AA24" s="87"/>
      <c r="AB24" s="87"/>
      <c r="AC24" s="87"/>
      <c r="AD24" s="87"/>
      <c r="AE24" s="87"/>
      <c r="AF24" s="91"/>
    </row>
    <row r="25" spans="1:32" ht="15" x14ac:dyDescent="0.2">
      <c r="A25" s="937" t="str">
        <f t="shared" si="0"/>
        <v>D</v>
      </c>
      <c r="B25" s="938"/>
      <c r="C25" s="938"/>
      <c r="D25" s="938"/>
      <c r="E25" s="948" t="s">
        <v>341</v>
      </c>
      <c r="F25" s="948"/>
      <c r="G25" s="948"/>
      <c r="H25" s="948" t="s">
        <v>329</v>
      </c>
      <c r="I25" s="948"/>
      <c r="J25" s="948"/>
      <c r="L25" s="86" t="s">
        <v>342</v>
      </c>
      <c r="M25" s="87"/>
      <c r="N25" s="87"/>
      <c r="O25" s="87"/>
      <c r="P25" s="87"/>
      <c r="Q25" s="87"/>
      <c r="R25" s="87"/>
      <c r="S25" s="87"/>
      <c r="T25" s="87"/>
      <c r="U25" s="87"/>
      <c r="V25" s="87"/>
      <c r="W25" s="87"/>
      <c r="X25" s="87"/>
      <c r="Y25" s="87"/>
      <c r="Z25" s="87"/>
      <c r="AA25" s="87"/>
      <c r="AB25" s="87"/>
      <c r="AC25" s="87"/>
      <c r="AD25" s="87"/>
      <c r="AE25" s="87"/>
      <c r="AF25" s="91"/>
    </row>
    <row r="26" spans="1:32" ht="15.75" thickBot="1" x14ac:dyDescent="0.25">
      <c r="A26" s="937" t="str">
        <f t="shared" si="0"/>
        <v>E</v>
      </c>
      <c r="B26" s="938"/>
      <c r="C26" s="938"/>
      <c r="D26" s="938"/>
      <c r="E26" s="948"/>
      <c r="F26" s="948"/>
      <c r="G26" s="948"/>
      <c r="H26" s="948"/>
      <c r="I26" s="948"/>
      <c r="J26" s="949"/>
      <c r="L26" s="88" t="s">
        <v>319</v>
      </c>
      <c r="M26" s="89"/>
      <c r="N26" s="89"/>
      <c r="O26" s="89"/>
      <c r="P26" s="89"/>
      <c r="Q26" s="89"/>
      <c r="R26" s="89"/>
      <c r="S26" s="89"/>
      <c r="T26" s="89"/>
      <c r="U26" s="89"/>
      <c r="V26" s="89"/>
      <c r="W26" s="89"/>
      <c r="X26" s="89"/>
      <c r="Y26" s="89"/>
      <c r="Z26" s="89"/>
      <c r="AA26" s="89"/>
      <c r="AB26" s="89"/>
      <c r="AC26" s="89"/>
      <c r="AD26" s="89"/>
      <c r="AE26" s="89"/>
      <c r="AF26" s="92"/>
    </row>
    <row r="27" spans="1:32" ht="15" x14ac:dyDescent="0.2">
      <c r="A27" s="937" t="str">
        <f t="shared" si="0"/>
        <v>F</v>
      </c>
      <c r="B27" s="938"/>
      <c r="C27" s="938"/>
      <c r="D27" s="938"/>
      <c r="E27" s="947"/>
      <c r="F27" s="947"/>
      <c r="G27" s="947"/>
      <c r="H27" s="948"/>
      <c r="I27" s="948"/>
      <c r="J27" s="949"/>
    </row>
    <row r="28" spans="1:32" ht="15.75" thickBot="1" x14ac:dyDescent="0.25">
      <c r="A28" s="939" t="str">
        <f t="shared" si="0"/>
        <v>G</v>
      </c>
      <c r="B28" s="940"/>
      <c r="C28" s="940"/>
      <c r="D28" s="940"/>
      <c r="E28" s="945"/>
      <c r="F28" s="945"/>
      <c r="G28" s="945"/>
      <c r="H28" s="945"/>
      <c r="I28" s="945"/>
      <c r="J28" s="946"/>
    </row>
    <row r="29" spans="1:32" ht="13.5" thickTop="1" x14ac:dyDescent="0.2">
      <c r="A29" t="s">
        <v>335</v>
      </c>
    </row>
    <row r="30" spans="1:32" ht="8.1" customHeight="1" x14ac:dyDescent="0.2"/>
    <row r="31" spans="1:32" ht="8.1" customHeight="1" x14ac:dyDescent="0.2"/>
    <row r="32" spans="1:32" ht="18" x14ac:dyDescent="0.25">
      <c r="A32" s="944" t="s">
        <v>343</v>
      </c>
      <c r="B32" s="944"/>
      <c r="C32" s="944"/>
      <c r="D32" s="944"/>
      <c r="E32" s="944"/>
      <c r="F32" s="944"/>
      <c r="G32" s="944"/>
      <c r="H32" s="944"/>
      <c r="I32" s="944"/>
      <c r="J32" s="944"/>
      <c r="K32" s="28"/>
    </row>
    <row r="33" spans="1:11" ht="6" customHeight="1" thickBot="1" x14ac:dyDescent="0.25">
      <c r="A33" s="29"/>
      <c r="B33" s="29"/>
      <c r="C33" s="29"/>
      <c r="D33" s="29"/>
      <c r="E33" s="29"/>
      <c r="F33" s="29"/>
      <c r="G33" s="29"/>
      <c r="H33" s="29"/>
      <c r="I33" s="29"/>
      <c r="J33" s="29"/>
      <c r="K33" s="29"/>
    </row>
    <row r="34" spans="1:11" ht="14.25" thickTop="1" thickBot="1" x14ac:dyDescent="0.25">
      <c r="A34" s="923" t="s">
        <v>344</v>
      </c>
      <c r="B34" s="924"/>
      <c r="C34" s="928" t="s">
        <v>272</v>
      </c>
      <c r="D34" s="929"/>
      <c r="E34" s="929"/>
      <c r="F34" s="929"/>
      <c r="G34" s="929"/>
      <c r="H34" s="929"/>
      <c r="I34" s="929"/>
      <c r="J34" s="930"/>
    </row>
    <row r="35" spans="1:11" ht="13.5" thickTop="1" x14ac:dyDescent="0.2">
      <c r="A35" s="455" t="s">
        <v>324</v>
      </c>
      <c r="B35" s="362" t="s">
        <v>345</v>
      </c>
      <c r="C35" s="925" t="s">
        <v>346</v>
      </c>
      <c r="D35" s="926"/>
      <c r="E35" s="926"/>
      <c r="F35" s="926"/>
      <c r="G35" s="926"/>
      <c r="H35" s="926"/>
      <c r="I35" s="926"/>
      <c r="J35" s="927"/>
      <c r="K35" s="30"/>
    </row>
    <row r="36" spans="1:11" ht="14.25" x14ac:dyDescent="0.2">
      <c r="A36" s="456" t="s">
        <v>324</v>
      </c>
      <c r="B36" s="457" t="s">
        <v>347</v>
      </c>
      <c r="C36" s="931" t="s">
        <v>348</v>
      </c>
      <c r="D36" s="932"/>
      <c r="E36" s="932"/>
      <c r="F36" s="932"/>
      <c r="G36" s="932"/>
      <c r="H36" s="932"/>
      <c r="I36" s="932"/>
      <c r="J36" s="933"/>
      <c r="K36" s="27"/>
    </row>
    <row r="37" spans="1:11" ht="14.25" x14ac:dyDescent="0.2">
      <c r="A37" s="456" t="s">
        <v>325</v>
      </c>
      <c r="B37" s="457" t="s">
        <v>345</v>
      </c>
      <c r="C37" s="931" t="s">
        <v>349</v>
      </c>
      <c r="D37" s="932"/>
      <c r="E37" s="932"/>
      <c r="F37" s="932"/>
      <c r="G37" s="932"/>
      <c r="H37" s="932"/>
      <c r="I37" s="932"/>
      <c r="J37" s="933"/>
      <c r="K37" s="27"/>
    </row>
    <row r="38" spans="1:11" ht="14.25" x14ac:dyDescent="0.2">
      <c r="A38" s="456" t="s">
        <v>326</v>
      </c>
      <c r="B38" s="457" t="s">
        <v>345</v>
      </c>
      <c r="C38" s="934" t="s">
        <v>350</v>
      </c>
      <c r="D38" s="935"/>
      <c r="E38" s="935"/>
      <c r="F38" s="935"/>
      <c r="G38" s="935"/>
      <c r="H38" s="935"/>
      <c r="I38" s="935"/>
      <c r="J38" s="936"/>
      <c r="K38" s="27"/>
    </row>
    <row r="39" spans="1:11" ht="14.25" x14ac:dyDescent="0.2">
      <c r="A39" s="456" t="s">
        <v>326</v>
      </c>
      <c r="B39" s="457" t="s">
        <v>347</v>
      </c>
      <c r="C39" s="934" t="str">
        <f>C38</f>
        <v>Allow SG 3 to Filter in C</v>
      </c>
      <c r="D39" s="935"/>
      <c r="E39" s="935"/>
      <c r="F39" s="935"/>
      <c r="G39" s="935"/>
      <c r="H39" s="935"/>
      <c r="I39" s="935"/>
      <c r="J39" s="936"/>
      <c r="K39" s="27"/>
    </row>
    <row r="40" spans="1:11" ht="14.25" x14ac:dyDescent="0.2">
      <c r="A40" s="456" t="s">
        <v>327</v>
      </c>
      <c r="B40" s="457" t="s">
        <v>345</v>
      </c>
      <c r="C40" s="934" t="s">
        <v>351</v>
      </c>
      <c r="D40" s="935"/>
      <c r="E40" s="935"/>
      <c r="F40" s="935"/>
      <c r="G40" s="935"/>
      <c r="H40" s="935"/>
      <c r="I40" s="935"/>
      <c r="J40" s="936"/>
      <c r="K40" s="27"/>
    </row>
    <row r="41" spans="1:11" ht="14.25" x14ac:dyDescent="0.2">
      <c r="A41" s="456" t="s">
        <v>327</v>
      </c>
      <c r="B41" s="457" t="s">
        <v>347</v>
      </c>
      <c r="C41" s="934" t="str">
        <f>C40</f>
        <v>Allow SG 7 to Filter in A</v>
      </c>
      <c r="D41" s="935"/>
      <c r="E41" s="935"/>
      <c r="F41" s="935"/>
      <c r="G41" s="935"/>
      <c r="H41" s="935"/>
      <c r="I41" s="935"/>
      <c r="J41" s="936"/>
      <c r="K41" s="27"/>
    </row>
    <row r="42" spans="1:11" ht="4.5" customHeight="1" x14ac:dyDescent="0.2">
      <c r="A42" s="455"/>
      <c r="B42" s="362"/>
      <c r="C42" s="941"/>
      <c r="D42" s="942"/>
      <c r="E42" s="942"/>
      <c r="F42" s="942"/>
      <c r="G42" s="942"/>
      <c r="H42" s="942"/>
      <c r="I42" s="942"/>
      <c r="J42" s="943"/>
      <c r="K42" s="27"/>
    </row>
    <row r="43" spans="1:11" ht="14.25" x14ac:dyDescent="0.2">
      <c r="A43" s="456" t="s">
        <v>352</v>
      </c>
      <c r="B43" s="362" t="s">
        <v>347</v>
      </c>
      <c r="C43" s="934"/>
      <c r="D43" s="935"/>
      <c r="E43" s="935"/>
      <c r="F43" s="935"/>
      <c r="G43" s="935"/>
      <c r="H43" s="935"/>
      <c r="I43" s="935"/>
      <c r="J43" s="936"/>
      <c r="K43" s="27"/>
    </row>
    <row r="44" spans="1:11" ht="14.25" x14ac:dyDescent="0.2">
      <c r="A44" s="456" t="s">
        <v>353</v>
      </c>
      <c r="B44" s="362" t="s">
        <v>354</v>
      </c>
      <c r="C44" s="934"/>
      <c r="D44" s="935"/>
      <c r="E44" s="935"/>
      <c r="F44" s="935"/>
      <c r="G44" s="935"/>
      <c r="H44" s="935"/>
      <c r="I44" s="935"/>
      <c r="J44" s="936"/>
      <c r="K44" s="27"/>
    </row>
    <row r="45" spans="1:11" ht="14.25" x14ac:dyDescent="0.2">
      <c r="A45" s="456" t="s">
        <v>355</v>
      </c>
      <c r="B45" s="362" t="s">
        <v>354</v>
      </c>
      <c r="C45" s="934"/>
      <c r="D45" s="935"/>
      <c r="E45" s="935"/>
      <c r="F45" s="935"/>
      <c r="G45" s="935"/>
      <c r="H45" s="935"/>
      <c r="I45" s="935"/>
      <c r="J45" s="936"/>
      <c r="K45" s="27"/>
    </row>
    <row r="46" spans="1:11" x14ac:dyDescent="0.2">
      <c r="A46" s="458" t="s">
        <v>356</v>
      </c>
      <c r="B46" s="362" t="s">
        <v>354</v>
      </c>
      <c r="C46" s="934"/>
      <c r="D46" s="935"/>
      <c r="E46" s="935"/>
      <c r="F46" s="935"/>
      <c r="G46" s="935"/>
      <c r="H46" s="935"/>
      <c r="I46" s="935"/>
      <c r="J46" s="936"/>
    </row>
    <row r="47" spans="1:11" x14ac:dyDescent="0.2">
      <c r="A47" s="456" t="s">
        <v>357</v>
      </c>
      <c r="B47" s="362" t="s">
        <v>347</v>
      </c>
      <c r="C47" s="934"/>
      <c r="D47" s="935"/>
      <c r="E47" s="935"/>
      <c r="F47" s="935"/>
      <c r="G47" s="935"/>
      <c r="H47" s="935"/>
      <c r="I47" s="935"/>
      <c r="J47" s="936"/>
    </row>
    <row r="48" spans="1:11" x14ac:dyDescent="0.2">
      <c r="A48" s="456" t="s">
        <v>358</v>
      </c>
      <c r="B48" s="457" t="s">
        <v>354</v>
      </c>
      <c r="C48" s="934" t="str">
        <f>IF($AI$4="DDO","Allow F2 phase to run",IF($AI$4="DDOM","Allow F2 phase to run",IF($AI$4="DDOS","Allow F2 phase to run",IF($AI$4="DDOSM","Allow F2 phase to run",""))))</f>
        <v/>
      </c>
      <c r="D48" s="935"/>
      <c r="E48" s="935"/>
      <c r="F48" s="935"/>
      <c r="G48" s="935"/>
      <c r="H48" s="935"/>
      <c r="I48" s="935"/>
      <c r="J48" s="936"/>
    </row>
    <row r="49" spans="1:10" ht="4.5" customHeight="1" x14ac:dyDescent="0.2">
      <c r="A49" s="455"/>
      <c r="B49" s="362"/>
      <c r="C49" s="941"/>
      <c r="D49" s="942"/>
      <c r="E49" s="942"/>
      <c r="F49" s="942"/>
      <c r="G49" s="942"/>
      <c r="H49" s="942"/>
      <c r="I49" s="942"/>
      <c r="J49" s="943"/>
    </row>
    <row r="50" spans="1:10" x14ac:dyDescent="0.2">
      <c r="A50" s="455" t="s">
        <v>359</v>
      </c>
      <c r="B50" s="362" t="s">
        <v>347</v>
      </c>
      <c r="C50" s="977"/>
      <c r="D50" s="978"/>
      <c r="E50" s="978"/>
      <c r="F50" s="978"/>
      <c r="G50" s="978"/>
      <c r="H50" s="978"/>
      <c r="I50" s="978"/>
      <c r="J50" s="979"/>
    </row>
    <row r="51" spans="1:10" ht="15" customHeight="1" x14ac:dyDescent="0.2">
      <c r="A51" s="456" t="s">
        <v>360</v>
      </c>
      <c r="B51" s="362" t="s">
        <v>347</v>
      </c>
      <c r="C51" s="934"/>
      <c r="D51" s="935"/>
      <c r="E51" s="935"/>
      <c r="F51" s="935"/>
      <c r="G51" s="935"/>
      <c r="H51" s="935"/>
      <c r="I51" s="935"/>
      <c r="J51" s="936"/>
    </row>
    <row r="52" spans="1:10" ht="19.5" customHeight="1" x14ac:dyDescent="0.2">
      <c r="A52" s="456" t="s">
        <v>361</v>
      </c>
      <c r="B52" s="362" t="s">
        <v>347</v>
      </c>
      <c r="C52" s="934"/>
      <c r="D52" s="935"/>
      <c r="E52" s="935"/>
      <c r="F52" s="935"/>
      <c r="G52" s="935"/>
      <c r="H52" s="935"/>
      <c r="I52" s="935"/>
      <c r="J52" s="936"/>
    </row>
    <row r="53" spans="1:10" x14ac:dyDescent="0.2">
      <c r="A53" s="458" t="s">
        <v>362</v>
      </c>
      <c r="B53" s="362" t="s">
        <v>347</v>
      </c>
      <c r="C53" s="934"/>
      <c r="D53" s="935"/>
      <c r="E53" s="935"/>
      <c r="F53" s="935"/>
      <c r="G53" s="935"/>
      <c r="H53" s="935"/>
      <c r="I53" s="935"/>
      <c r="J53" s="936"/>
    </row>
    <row r="54" spans="1:10" x14ac:dyDescent="0.2">
      <c r="A54" s="456" t="s">
        <v>363</v>
      </c>
      <c r="B54" s="362" t="s">
        <v>347</v>
      </c>
      <c r="C54" s="934"/>
      <c r="D54" s="935"/>
      <c r="E54" s="935"/>
      <c r="F54" s="935"/>
      <c r="G54" s="935"/>
      <c r="H54" s="935"/>
      <c r="I54" s="935"/>
      <c r="J54" s="936"/>
    </row>
    <row r="55" spans="1:10" ht="13.5" thickBot="1" x14ac:dyDescent="0.25">
      <c r="A55" s="459" t="s">
        <v>364</v>
      </c>
      <c r="B55" s="460" t="s">
        <v>347</v>
      </c>
      <c r="C55" s="972"/>
      <c r="D55" s="973"/>
      <c r="E55" s="973"/>
      <c r="F55" s="973"/>
      <c r="G55" s="973"/>
      <c r="H55" s="973"/>
      <c r="I55" s="973"/>
      <c r="J55" s="974"/>
    </row>
    <row r="56" spans="1:10" ht="13.5" thickTop="1" x14ac:dyDescent="0.2"/>
    <row r="65" spans="10:30" x14ac:dyDescent="0.2">
      <c r="J65" t="s">
        <v>365</v>
      </c>
      <c r="AD65" t="s">
        <v>366</v>
      </c>
    </row>
  </sheetData>
  <mergeCells count="101">
    <mergeCell ref="C55:J55"/>
    <mergeCell ref="H4:J4"/>
    <mergeCell ref="C18:G18"/>
    <mergeCell ref="H18:J18"/>
    <mergeCell ref="H10:J10"/>
    <mergeCell ref="H13:J13"/>
    <mergeCell ref="H6:J6"/>
    <mergeCell ref="A6:D7"/>
    <mergeCell ref="A8:D8"/>
    <mergeCell ref="A9:D9"/>
    <mergeCell ref="C51:J51"/>
    <mergeCell ref="C52:J52"/>
    <mergeCell ref="C53:J53"/>
    <mergeCell ref="C54:J54"/>
    <mergeCell ref="C48:J48"/>
    <mergeCell ref="C49:J49"/>
    <mergeCell ref="C50:J50"/>
    <mergeCell ref="E13:G13"/>
    <mergeCell ref="A22:D22"/>
    <mergeCell ref="E14:G14"/>
    <mergeCell ref="A23:D23"/>
    <mergeCell ref="A26:D26"/>
    <mergeCell ref="A24:D24"/>
    <mergeCell ref="A25:D25"/>
    <mergeCell ref="A13:D13"/>
    <mergeCell ref="A14:D14"/>
    <mergeCell ref="A20:D21"/>
    <mergeCell ref="A10:D10"/>
    <mergeCell ref="H12:J12"/>
    <mergeCell ref="E6:G7"/>
    <mergeCell ref="E8:G8"/>
    <mergeCell ref="E9:G9"/>
    <mergeCell ref="E10:G10"/>
    <mergeCell ref="E12:G12"/>
    <mergeCell ref="A12:D12"/>
    <mergeCell ref="H9:J9"/>
    <mergeCell ref="H11:J11"/>
    <mergeCell ref="H14:J14"/>
    <mergeCell ref="A1:B1"/>
    <mergeCell ref="A11:D11"/>
    <mergeCell ref="H8:J8"/>
    <mergeCell ref="B2:C2"/>
    <mergeCell ref="C1:F1"/>
    <mergeCell ref="I1:J1"/>
    <mergeCell ref="I2:J2"/>
    <mergeCell ref="E11:G11"/>
    <mergeCell ref="C4:G4"/>
    <mergeCell ref="H7:J7"/>
    <mergeCell ref="E22:G22"/>
    <mergeCell ref="E26:G26"/>
    <mergeCell ref="E20:G21"/>
    <mergeCell ref="E23:G23"/>
    <mergeCell ref="E25:G25"/>
    <mergeCell ref="E24:G24"/>
    <mergeCell ref="H20:J20"/>
    <mergeCell ref="H21:J21"/>
    <mergeCell ref="H22:J22"/>
    <mergeCell ref="C47:J47"/>
    <mergeCell ref="C45:J45"/>
    <mergeCell ref="C44:J44"/>
    <mergeCell ref="H24:J24"/>
    <mergeCell ref="H23:J23"/>
    <mergeCell ref="C43:J43"/>
    <mergeCell ref="H25:J25"/>
    <mergeCell ref="H27:J27"/>
    <mergeCell ref="C39:J39"/>
    <mergeCell ref="H26:J26"/>
    <mergeCell ref="A34:B34"/>
    <mergeCell ref="C35:J35"/>
    <mergeCell ref="C34:J34"/>
    <mergeCell ref="C36:J36"/>
    <mergeCell ref="C37:J37"/>
    <mergeCell ref="C38:J38"/>
    <mergeCell ref="C46:J46"/>
    <mergeCell ref="A27:D27"/>
    <mergeCell ref="A28:D28"/>
    <mergeCell ref="C40:J40"/>
    <mergeCell ref="C41:J41"/>
    <mergeCell ref="C42:J42"/>
    <mergeCell ref="A32:J32"/>
    <mergeCell ref="E28:G28"/>
    <mergeCell ref="H28:J28"/>
    <mergeCell ref="E27:G27"/>
    <mergeCell ref="AC16:AD16"/>
    <mergeCell ref="AC17:AD17"/>
    <mergeCell ref="P2:S2"/>
    <mergeCell ref="AC6:AD6"/>
    <mergeCell ref="N1:U1"/>
    <mergeCell ref="M2:O2"/>
    <mergeCell ref="AC2:AF2"/>
    <mergeCell ref="AC12:AD12"/>
    <mergeCell ref="L1:M1"/>
    <mergeCell ref="AC13:AD13"/>
    <mergeCell ref="AA1:AC1"/>
    <mergeCell ref="AD1:AF1"/>
    <mergeCell ref="AC14:AD14"/>
    <mergeCell ref="AC15:AD15"/>
    <mergeCell ref="AC8:AD8"/>
    <mergeCell ref="AC9:AD9"/>
    <mergeCell ref="AC10:AD10"/>
    <mergeCell ref="AC11:AD11"/>
  </mergeCells>
  <phoneticPr fontId="0" type="noConversion"/>
  <pageMargins left="0.78740157480314965" right="0.19685039370078741" top="0.39370078740157483" bottom="0.39370078740157483" header="0.39370078740157483" footer="0.39370078740157483"/>
  <pageSetup paperSize="9" scale="90" pageOrder="overThenDown" orientation="portrait" r:id="rId1"/>
  <headerFooter alignWithMargins="0">
    <oddFooter>&amp;L&amp;A</oddFooter>
  </headerFooter>
  <colBreaks count="1" manualBreakCount="1">
    <brk id="10"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pageSetUpPr fitToPage="1"/>
  </sheetPr>
  <dimension ref="A1:AH55"/>
  <sheetViews>
    <sheetView showGridLines="0" zoomScaleNormal="100" zoomScaleSheetLayoutView="75" workbookViewId="0">
      <selection activeCell="AC8" sqref="AC8"/>
    </sheetView>
  </sheetViews>
  <sheetFormatPr defaultRowHeight="12.75" x14ac:dyDescent="0.2"/>
  <cols>
    <col min="1" max="26" width="3.5703125" customWidth="1"/>
    <col min="29" max="29" width="13" customWidth="1"/>
    <col min="30" max="30" width="5.7109375" customWidth="1"/>
    <col min="31" max="31" width="7.85546875" customWidth="1"/>
    <col min="32" max="33" width="3.5703125" customWidth="1"/>
    <col min="34" max="34" width="19.28515625" hidden="1" customWidth="1"/>
    <col min="35" max="38" width="3.5703125" customWidth="1"/>
    <col min="39" max="39" width="63.28515625" customWidth="1"/>
    <col min="40" max="52" width="3.5703125" customWidth="1"/>
  </cols>
  <sheetData>
    <row r="1" spans="1:34" ht="13.5" customHeight="1" x14ac:dyDescent="0.25">
      <c r="A1" s="509" t="s">
        <v>2</v>
      </c>
      <c r="B1" s="510"/>
      <c r="C1" s="510"/>
      <c r="D1" s="510"/>
      <c r="E1" s="237"/>
      <c r="F1" s="618" t="str">
        <f>'1 - Cover'!C4</f>
        <v>Naylor / Galloway</v>
      </c>
      <c r="G1" s="618"/>
      <c r="H1" s="618"/>
      <c r="I1" s="618"/>
      <c r="J1" s="618"/>
      <c r="K1" s="618"/>
      <c r="L1" s="618"/>
      <c r="M1" s="618"/>
      <c r="N1" s="618"/>
      <c r="O1" s="237"/>
      <c r="P1" s="237"/>
      <c r="Q1" s="237"/>
      <c r="R1" s="237"/>
      <c r="S1" s="237"/>
      <c r="T1" s="256" t="s">
        <v>4</v>
      </c>
      <c r="U1" s="755">
        <f>'1 - Cover'!H4</f>
        <v>36</v>
      </c>
      <c r="V1" s="755"/>
      <c r="W1" s="755"/>
      <c r="X1" s="755"/>
      <c r="Y1" s="755"/>
      <c r="Z1" s="756"/>
      <c r="AE1" s="85" t="str">
        <f>'1 - Cover'!H6</f>
        <v>XLOSM</v>
      </c>
    </row>
    <row r="2" spans="1:34" ht="13.5" customHeight="1" thickBot="1" x14ac:dyDescent="0.3">
      <c r="A2" s="982" t="s">
        <v>5</v>
      </c>
      <c r="B2" s="628"/>
      <c r="C2" s="965">
        <f>'1 - Cover'!B5</f>
        <v>43546</v>
      </c>
      <c r="D2" s="532"/>
      <c r="E2" s="532"/>
      <c r="F2" s="532"/>
      <c r="G2" s="264"/>
      <c r="H2" s="766" t="s">
        <v>6</v>
      </c>
      <c r="I2" s="766"/>
      <c r="J2" s="766"/>
      <c r="K2" s="766"/>
      <c r="L2" s="268" t="str">
        <f>'1 - Cover'!E5</f>
        <v>3d</v>
      </c>
      <c r="M2" s="264"/>
      <c r="N2" s="264"/>
      <c r="O2" s="239"/>
      <c r="P2" s="239"/>
      <c r="Q2" s="239"/>
      <c r="R2" s="239"/>
      <c r="S2" s="239"/>
      <c r="T2" s="267" t="s">
        <v>8</v>
      </c>
      <c r="U2" s="629" t="str">
        <f>'1 - Cover'!H5</f>
        <v>R Thomson</v>
      </c>
      <c r="V2" s="629"/>
      <c r="W2" s="629"/>
      <c r="X2" s="629"/>
      <c r="Y2" s="629"/>
      <c r="Z2" s="630"/>
      <c r="AE2" s="85" t="str">
        <f>'2 - Install notes'!D24</f>
        <v>N/A</v>
      </c>
    </row>
    <row r="3" spans="1:34" ht="13.5" customHeight="1" x14ac:dyDescent="0.25">
      <c r="A3" s="23"/>
      <c r="B3" s="23"/>
      <c r="T3" s="24"/>
      <c r="AE3" s="85" t="str">
        <f>'2 - Install notes'!I24</f>
        <v>N/A</v>
      </c>
    </row>
    <row r="4" spans="1:34" ht="18" x14ac:dyDescent="0.25">
      <c r="A4" s="500" t="s">
        <v>367</v>
      </c>
      <c r="B4" s="500"/>
      <c r="C4" s="500"/>
      <c r="D4" s="500"/>
      <c r="E4" s="500"/>
      <c r="F4" s="500"/>
      <c r="G4" s="500"/>
      <c r="H4" s="500"/>
      <c r="I4" s="500"/>
      <c r="J4" s="500"/>
      <c r="K4" s="500"/>
      <c r="L4" s="500"/>
      <c r="M4" s="500"/>
      <c r="N4" s="500"/>
      <c r="O4" s="500"/>
      <c r="P4" s="500"/>
      <c r="Q4" s="500"/>
      <c r="R4" s="500"/>
      <c r="S4" s="500"/>
      <c r="T4" s="500"/>
      <c r="U4" s="500"/>
      <c r="V4" s="500"/>
      <c r="W4" s="500"/>
      <c r="X4" s="500"/>
      <c r="Y4" s="500"/>
      <c r="Z4" s="500"/>
      <c r="AH4" t="str">
        <f>'1 - Cover'!H6</f>
        <v>XLOSM</v>
      </c>
    </row>
    <row r="5" spans="1:34" ht="13.5" customHeight="1" thickBot="1" x14ac:dyDescent="0.25"/>
    <row r="6" spans="1:34" ht="18" customHeight="1" thickTop="1" x14ac:dyDescent="0.2">
      <c r="A6" s="251"/>
      <c r="B6" s="252"/>
      <c r="C6" s="249" t="s">
        <v>368</v>
      </c>
      <c r="D6" s="249" t="s">
        <v>368</v>
      </c>
      <c r="E6" s="249" t="s">
        <v>369</v>
      </c>
      <c r="F6" s="249" t="s">
        <v>369</v>
      </c>
      <c r="G6" s="249" t="s">
        <v>368</v>
      </c>
      <c r="H6" s="249" t="s">
        <v>368</v>
      </c>
      <c r="I6" s="249" t="s">
        <v>369</v>
      </c>
      <c r="J6" s="249" t="s">
        <v>369</v>
      </c>
      <c r="K6" s="249" t="s">
        <v>369</v>
      </c>
      <c r="L6" s="249" t="s">
        <v>369</v>
      </c>
      <c r="M6" s="249" t="s">
        <v>369</v>
      </c>
      <c r="N6" s="249" t="s">
        <v>369</v>
      </c>
      <c r="O6" s="249" t="s">
        <v>258</v>
      </c>
      <c r="P6" s="249" t="s">
        <v>257</v>
      </c>
      <c r="Q6" s="249" t="s">
        <v>256</v>
      </c>
      <c r="R6" s="249" t="s">
        <v>370</v>
      </c>
      <c r="S6" s="249"/>
      <c r="T6" s="249"/>
      <c r="U6" s="249"/>
      <c r="V6" s="249"/>
      <c r="W6" s="249"/>
      <c r="X6" s="249"/>
      <c r="Y6" s="249"/>
      <c r="Z6" s="250"/>
      <c r="AE6" s="2"/>
    </row>
    <row r="7" spans="1:34" ht="18" customHeight="1" x14ac:dyDescent="0.2">
      <c r="A7" s="253"/>
      <c r="B7" s="247" t="s">
        <v>62</v>
      </c>
      <c r="C7" s="247">
        <v>1</v>
      </c>
      <c r="D7" s="247">
        <v>2</v>
      </c>
      <c r="E7" s="247">
        <v>3</v>
      </c>
      <c r="F7" s="247">
        <v>4</v>
      </c>
      <c r="G7" s="247">
        <v>5</v>
      </c>
      <c r="H7" s="247">
        <v>6</v>
      </c>
      <c r="I7" s="247">
        <v>7</v>
      </c>
      <c r="J7" s="247">
        <v>8</v>
      </c>
      <c r="K7" s="247">
        <v>9</v>
      </c>
      <c r="L7" s="247">
        <v>10</v>
      </c>
      <c r="M7" s="247">
        <v>11</v>
      </c>
      <c r="N7" s="247">
        <v>12</v>
      </c>
      <c r="O7" s="247">
        <v>13</v>
      </c>
      <c r="P7" s="247">
        <v>14</v>
      </c>
      <c r="Q7" s="247">
        <v>15</v>
      </c>
      <c r="R7" s="247">
        <v>16</v>
      </c>
      <c r="S7" s="247">
        <v>17</v>
      </c>
      <c r="T7" s="247">
        <v>18</v>
      </c>
      <c r="U7" s="247">
        <v>19</v>
      </c>
      <c r="V7" s="247">
        <v>20</v>
      </c>
      <c r="W7" s="247">
        <v>21</v>
      </c>
      <c r="X7" s="247">
        <v>22</v>
      </c>
      <c r="Y7" s="247">
        <v>23</v>
      </c>
      <c r="Z7" s="248">
        <v>24</v>
      </c>
    </row>
    <row r="8" spans="1:34" ht="18" customHeight="1" x14ac:dyDescent="0.2">
      <c r="A8" s="300" t="str">
        <f>IF(C$6="","",C$6)</f>
        <v>MA</v>
      </c>
      <c r="B8" s="254">
        <f>INDEX($1:$1048576,7,ROW()-5)</f>
        <v>1</v>
      </c>
      <c r="C8" s="43"/>
      <c r="D8" s="21"/>
      <c r="E8" s="21"/>
      <c r="F8" s="21"/>
      <c r="G8" s="21" t="s">
        <v>371</v>
      </c>
      <c r="H8" s="21" t="s">
        <v>371</v>
      </c>
      <c r="I8" s="21" t="s">
        <v>371</v>
      </c>
      <c r="J8" s="21" t="str">
        <f>IF($AH$4="DDO","X",IF($AH$4="DDOM","X",IF($AH$4="DDOS","X",IF($AH$4="DDOSM","X",""))))</f>
        <v/>
      </c>
      <c r="K8" s="21"/>
      <c r="L8" s="21"/>
      <c r="M8" s="21"/>
      <c r="N8" s="21"/>
      <c r="O8" s="21" t="s">
        <v>371</v>
      </c>
      <c r="P8" s="21" t="s">
        <v>371</v>
      </c>
      <c r="Q8" s="21"/>
      <c r="R8" s="21"/>
      <c r="S8" s="21"/>
      <c r="T8" s="21"/>
      <c r="U8" s="21"/>
      <c r="V8" s="21"/>
      <c r="W8" s="21"/>
      <c r="X8" s="21"/>
      <c r="Y8" s="21"/>
      <c r="Z8" s="245"/>
      <c r="AB8" s="2"/>
      <c r="AC8" s="212" t="s">
        <v>372</v>
      </c>
      <c r="AH8" s="313"/>
    </row>
    <row r="9" spans="1:34" ht="18" customHeight="1" x14ac:dyDescent="0.2">
      <c r="A9" s="300" t="str">
        <f>IF(D$6="","",D$6)</f>
        <v>MA</v>
      </c>
      <c r="B9" s="254">
        <f t="shared" ref="B9:B31" si="0">INDEX($1:$1048576,7,ROW()-5)</f>
        <v>2</v>
      </c>
      <c r="C9" s="21"/>
      <c r="D9" s="43"/>
      <c r="E9" s="21" t="s">
        <v>371</v>
      </c>
      <c r="F9" s="21"/>
      <c r="G9" s="21" t="s">
        <v>371</v>
      </c>
      <c r="H9" s="21" t="s">
        <v>371</v>
      </c>
      <c r="I9" s="21" t="s">
        <v>371</v>
      </c>
      <c r="J9" s="21" t="str">
        <f t="shared" ref="I9:J11" si="1">IF($AH$4="DDO","X",IF($AH$4="DDOM","X",IF($AH$4="DDOS","X",IF($AH$4="DDOSM","X",""))))</f>
        <v/>
      </c>
      <c r="K9" s="21"/>
      <c r="L9" s="21"/>
      <c r="M9" s="21"/>
      <c r="N9" s="21" t="s">
        <v>371</v>
      </c>
      <c r="O9" s="21" t="s">
        <v>371</v>
      </c>
      <c r="P9" s="21" t="s">
        <v>371</v>
      </c>
      <c r="Q9" s="21"/>
      <c r="R9" s="21"/>
      <c r="S9" s="21"/>
      <c r="T9" s="21"/>
      <c r="U9" s="21"/>
      <c r="V9" s="21"/>
      <c r="W9" s="21"/>
      <c r="X9" s="21"/>
      <c r="Y9" s="21"/>
      <c r="Z9" s="245"/>
    </row>
    <row r="10" spans="1:34" ht="18" customHeight="1" x14ac:dyDescent="0.2">
      <c r="A10" s="300" t="str">
        <f>IF(E$6="","",E$6)</f>
        <v>MI</v>
      </c>
      <c r="B10" s="254">
        <f t="shared" si="0"/>
        <v>3</v>
      </c>
      <c r="C10" s="21"/>
      <c r="D10" s="21" t="s">
        <v>371</v>
      </c>
      <c r="E10" s="43"/>
      <c r="F10" s="21"/>
      <c r="G10" s="21" t="s">
        <v>371</v>
      </c>
      <c r="H10" s="21" t="s">
        <v>371</v>
      </c>
      <c r="I10" s="21" t="s">
        <v>371</v>
      </c>
      <c r="J10" s="21"/>
      <c r="K10" s="21"/>
      <c r="L10" s="21"/>
      <c r="M10" s="21"/>
      <c r="N10" s="21"/>
      <c r="O10" s="21"/>
      <c r="P10" s="21" t="s">
        <v>371</v>
      </c>
      <c r="Q10" s="21" t="s">
        <v>371</v>
      </c>
      <c r="R10" s="21"/>
      <c r="S10" s="21"/>
      <c r="T10" s="21"/>
      <c r="U10" s="21"/>
      <c r="V10" s="21"/>
      <c r="W10" s="21"/>
      <c r="X10" s="21"/>
      <c r="Y10" s="21"/>
      <c r="Z10" s="245"/>
    </row>
    <row r="11" spans="1:34" ht="18" customHeight="1" x14ac:dyDescent="0.2">
      <c r="A11" s="300" t="str">
        <f>IF(F$6="","",F$6)</f>
        <v>MI</v>
      </c>
      <c r="B11" s="254">
        <f t="shared" si="0"/>
        <v>4</v>
      </c>
      <c r="C11" s="21"/>
      <c r="D11" s="21"/>
      <c r="E11" s="21"/>
      <c r="F11" s="43"/>
      <c r="G11" s="21"/>
      <c r="H11" s="21" t="str">
        <f>IF($AH$4="SDO","X",IF($AH$4="SDOS","X",IF($AH$4="SDOM","X",IF($AH$4="SDOSM","X",IF($AH$4="DDO","X",IF($AH$4="DDOM","X",IF($AH$4="DDOS","X",IF($AH$4="DDOSM","X",""))))))))</f>
        <v/>
      </c>
      <c r="I11" s="21" t="str">
        <f t="shared" si="1"/>
        <v/>
      </c>
      <c r="J11" s="21" t="str">
        <f>IF($AH$4="T","X",IF($AH$4="TLSM","X",IF($AH$4="TLM","X",IF($AH$4="DDOSM","X",""))))</f>
        <v/>
      </c>
      <c r="K11" s="21"/>
      <c r="L11" s="21"/>
      <c r="M11" s="21"/>
      <c r="N11" s="21"/>
      <c r="O11" s="21"/>
      <c r="P11" s="21"/>
      <c r="Q11" s="21"/>
      <c r="R11" s="21"/>
      <c r="S11" s="21"/>
      <c r="T11" s="21"/>
      <c r="U11" s="21"/>
      <c r="V11" s="21"/>
      <c r="W11" s="21"/>
      <c r="X11" s="21"/>
      <c r="Y11" s="21"/>
      <c r="Z11" s="245"/>
    </row>
    <row r="12" spans="1:34" ht="18" customHeight="1" x14ac:dyDescent="0.2">
      <c r="A12" s="300" t="str">
        <f>IF(G$6="","",G$6)</f>
        <v>MA</v>
      </c>
      <c r="B12" s="254">
        <f t="shared" si="0"/>
        <v>5</v>
      </c>
      <c r="C12" s="21" t="s">
        <v>371</v>
      </c>
      <c r="D12" s="21" t="s">
        <v>371</v>
      </c>
      <c r="E12" s="21" t="s">
        <v>371</v>
      </c>
      <c r="F12" s="21"/>
      <c r="G12" s="43"/>
      <c r="H12" s="21" t="str">
        <f>IF($AH$4="SDO","X",IF($AH$4="SDOS","X",IF($AH$4="SDOM","X",IF($AH$4="SDOSM","X",""))))</f>
        <v/>
      </c>
      <c r="I12" s="21"/>
      <c r="J12" s="21" t="str">
        <f>IF($AH$4="DDO","X",IF($AH$4="DDOM","X",IF($AH$4="DDOS","X",IF($AH$4="DDOSM","X",""))))</f>
        <v/>
      </c>
      <c r="K12" s="21"/>
      <c r="L12" s="21"/>
      <c r="M12" s="21"/>
      <c r="N12" s="21"/>
      <c r="O12" s="21"/>
      <c r="P12" s="21"/>
      <c r="Q12" s="21" t="s">
        <v>371</v>
      </c>
      <c r="R12" s="21" t="s">
        <v>371</v>
      </c>
      <c r="S12" s="21"/>
      <c r="T12" s="21"/>
      <c r="U12" s="21"/>
      <c r="V12" s="21"/>
      <c r="W12" s="21"/>
      <c r="X12" s="21"/>
      <c r="Y12" s="21"/>
      <c r="Z12" s="245"/>
      <c r="AC12" s="301"/>
    </row>
    <row r="13" spans="1:34" ht="18" customHeight="1" x14ac:dyDescent="0.2">
      <c r="A13" s="300" t="str">
        <f>IF(H$6="","",H$6)</f>
        <v>MA</v>
      </c>
      <c r="B13" s="254">
        <f t="shared" si="0"/>
        <v>6</v>
      </c>
      <c r="C13" s="21" t="s">
        <v>371</v>
      </c>
      <c r="D13" s="21" t="s">
        <v>371</v>
      </c>
      <c r="E13" s="21" t="s">
        <v>371</v>
      </c>
      <c r="F13" s="21"/>
      <c r="G13" s="21"/>
      <c r="H13" s="43"/>
      <c r="I13" s="21" t="s">
        <v>371</v>
      </c>
      <c r="J13" s="21" t="str">
        <f>IF($AH$4="T","X",IF($AH$4="TLSM","X",IF($AH$4="TLM","X",IF($AH$4="DDOSM","X",""))))</f>
        <v/>
      </c>
      <c r="K13" s="21" t="s">
        <v>371</v>
      </c>
      <c r="L13" s="21"/>
      <c r="M13" s="21"/>
      <c r="N13" s="21"/>
      <c r="O13" s="21"/>
      <c r="P13" s="21"/>
      <c r="Q13" s="21" t="s">
        <v>371</v>
      </c>
      <c r="R13" s="21" t="s">
        <v>371</v>
      </c>
      <c r="S13" s="21"/>
      <c r="T13" s="21"/>
      <c r="U13" s="21"/>
      <c r="V13" s="21"/>
      <c r="W13" s="21"/>
      <c r="X13" s="21"/>
      <c r="Y13" s="21"/>
      <c r="Z13" s="245"/>
    </row>
    <row r="14" spans="1:34" ht="18" customHeight="1" x14ac:dyDescent="0.2">
      <c r="A14" s="300" t="str">
        <f>IF(I$6="","",I$6)</f>
        <v>MI</v>
      </c>
      <c r="B14" s="254">
        <f t="shared" si="0"/>
        <v>7</v>
      </c>
      <c r="C14" s="21" t="s">
        <v>371</v>
      </c>
      <c r="D14" s="21" t="s">
        <v>371</v>
      </c>
      <c r="E14" s="21" t="s">
        <v>371</v>
      </c>
      <c r="F14" s="21"/>
      <c r="G14" s="21"/>
      <c r="H14" s="21" t="s">
        <v>371</v>
      </c>
      <c r="I14" s="43"/>
      <c r="J14" s="21"/>
      <c r="K14" s="21"/>
      <c r="L14" s="21"/>
      <c r="M14" s="21"/>
      <c r="N14" s="21" t="s">
        <v>371</v>
      </c>
      <c r="O14" s="21"/>
      <c r="P14" s="21" t="s">
        <v>371</v>
      </c>
      <c r="Q14" s="21"/>
      <c r="R14" s="21" t="s">
        <v>371</v>
      </c>
      <c r="S14" s="21"/>
      <c r="T14" s="21"/>
      <c r="U14" s="21"/>
      <c r="V14" s="21"/>
      <c r="W14" s="21"/>
      <c r="X14" s="21"/>
      <c r="Y14" s="21"/>
      <c r="Z14" s="245"/>
      <c r="AE14" s="301"/>
    </row>
    <row r="15" spans="1:34" ht="18" customHeight="1" x14ac:dyDescent="0.2">
      <c r="A15" s="300" t="str">
        <f>IF(J$6="","",J$6)</f>
        <v>MI</v>
      </c>
      <c r="B15" s="254">
        <f t="shared" si="0"/>
        <v>8</v>
      </c>
      <c r="C15" s="21"/>
      <c r="D15" s="21"/>
      <c r="E15" s="21"/>
      <c r="F15" s="21"/>
      <c r="G15" s="21"/>
      <c r="H15" s="21"/>
      <c r="I15" s="21"/>
      <c r="J15" s="43"/>
      <c r="K15" s="21"/>
      <c r="L15" s="21"/>
      <c r="M15" s="21"/>
      <c r="N15" s="21"/>
      <c r="O15" s="21"/>
      <c r="P15" s="21"/>
      <c r="Q15" s="21"/>
      <c r="R15" s="21"/>
      <c r="S15" s="21"/>
      <c r="T15" s="21"/>
      <c r="U15" s="21"/>
      <c r="V15" s="21"/>
      <c r="W15" s="21"/>
      <c r="X15" s="21"/>
      <c r="Y15" s="21"/>
      <c r="Z15" s="245"/>
    </row>
    <row r="16" spans="1:34" ht="18" customHeight="1" x14ac:dyDescent="0.2">
      <c r="A16" s="300" t="str">
        <f>IF(K$6="","",K$6)</f>
        <v>MI</v>
      </c>
      <c r="B16" s="254">
        <f t="shared" si="0"/>
        <v>9</v>
      </c>
      <c r="C16" s="21"/>
      <c r="D16" s="21"/>
      <c r="E16" s="21"/>
      <c r="F16" s="21"/>
      <c r="G16" s="21"/>
      <c r="H16" s="21" t="s">
        <v>371</v>
      </c>
      <c r="I16" s="21"/>
      <c r="J16" s="21"/>
      <c r="K16" s="43"/>
      <c r="L16" s="21"/>
      <c r="M16" s="21"/>
      <c r="N16" s="21"/>
      <c r="O16" s="21"/>
      <c r="P16" s="21" t="s">
        <v>371</v>
      </c>
      <c r="Q16" s="21"/>
      <c r="R16" s="21" t="s">
        <v>371</v>
      </c>
      <c r="S16" s="21"/>
      <c r="T16" s="21"/>
      <c r="U16" s="21"/>
      <c r="V16" s="21"/>
      <c r="W16" s="21"/>
      <c r="X16" s="21"/>
      <c r="Y16" s="21"/>
      <c r="Z16" s="245"/>
    </row>
    <row r="17" spans="1:30" ht="18" customHeight="1" x14ac:dyDescent="0.2">
      <c r="A17" s="300" t="str">
        <f>IF(L$6="","",L$6)</f>
        <v>MI</v>
      </c>
      <c r="B17" s="254">
        <f t="shared" si="0"/>
        <v>10</v>
      </c>
      <c r="C17" s="21"/>
      <c r="D17" s="21"/>
      <c r="E17" s="21"/>
      <c r="F17" s="21"/>
      <c r="G17" s="21"/>
      <c r="H17" s="21"/>
      <c r="I17" s="21"/>
      <c r="J17" s="21"/>
      <c r="K17" s="21"/>
      <c r="L17" s="43"/>
      <c r="M17" s="21"/>
      <c r="N17" s="21"/>
      <c r="O17" s="21"/>
      <c r="P17" s="21"/>
      <c r="Q17" s="21"/>
      <c r="R17" s="21"/>
      <c r="S17" s="21"/>
      <c r="T17" s="21"/>
      <c r="U17" s="21"/>
      <c r="V17" s="21"/>
      <c r="W17" s="21"/>
      <c r="X17" s="21"/>
      <c r="Y17" s="21"/>
      <c r="Z17" s="245"/>
    </row>
    <row r="18" spans="1:30" ht="18" customHeight="1" x14ac:dyDescent="0.2">
      <c r="A18" s="300" t="str">
        <f>IF(M$6="","",M$6)</f>
        <v>MI</v>
      </c>
      <c r="B18" s="254">
        <f t="shared" si="0"/>
        <v>11</v>
      </c>
      <c r="C18" s="21"/>
      <c r="D18" s="21"/>
      <c r="E18" s="21"/>
      <c r="F18" s="21"/>
      <c r="G18" s="21"/>
      <c r="H18" s="21"/>
      <c r="I18" s="21"/>
      <c r="J18" s="21"/>
      <c r="K18" s="21"/>
      <c r="L18" s="21"/>
      <c r="M18" s="43"/>
      <c r="N18" s="21"/>
      <c r="O18" s="21"/>
      <c r="P18" s="21"/>
      <c r="Q18" s="21"/>
      <c r="R18" s="21"/>
      <c r="S18" s="21"/>
      <c r="T18" s="21"/>
      <c r="U18" s="21"/>
      <c r="V18" s="21"/>
      <c r="W18" s="21"/>
      <c r="X18" s="21"/>
      <c r="Y18" s="21"/>
      <c r="Z18" s="245"/>
    </row>
    <row r="19" spans="1:30" ht="18" customHeight="1" x14ac:dyDescent="0.2">
      <c r="A19" s="300" t="str">
        <f>IF(N$6="","",N$6)</f>
        <v>MI</v>
      </c>
      <c r="B19" s="254">
        <f t="shared" si="0"/>
        <v>12</v>
      </c>
      <c r="C19" s="21"/>
      <c r="D19" s="21" t="s">
        <v>371</v>
      </c>
      <c r="E19" s="21"/>
      <c r="F19" s="21"/>
      <c r="G19" s="21"/>
      <c r="H19" s="21"/>
      <c r="I19" s="21" t="s">
        <v>371</v>
      </c>
      <c r="J19" s="21"/>
      <c r="K19" s="21"/>
      <c r="L19" s="21"/>
      <c r="M19" s="21"/>
      <c r="N19" s="43"/>
      <c r="O19" s="21"/>
      <c r="P19" s="21" t="s">
        <v>371</v>
      </c>
      <c r="Q19" s="21" t="s">
        <v>371</v>
      </c>
      <c r="R19" s="21"/>
      <c r="S19" s="21"/>
      <c r="T19" s="21"/>
      <c r="U19" s="21"/>
      <c r="V19" s="21"/>
      <c r="W19" s="21"/>
      <c r="X19" s="21"/>
      <c r="Y19" s="21"/>
      <c r="Z19" s="245"/>
    </row>
    <row r="20" spans="1:30" ht="18" customHeight="1" x14ac:dyDescent="0.2">
      <c r="A20" s="300" t="str">
        <f>IF(O$6="","",O$6)</f>
        <v>P4</v>
      </c>
      <c r="B20" s="254">
        <f t="shared" si="0"/>
        <v>13</v>
      </c>
      <c r="C20" s="21" t="s">
        <v>371</v>
      </c>
      <c r="D20" s="21" t="s">
        <v>371</v>
      </c>
      <c r="E20" s="21"/>
      <c r="F20" s="21"/>
      <c r="G20" s="21"/>
      <c r="H20" s="21"/>
      <c r="I20" s="21"/>
      <c r="J20" s="21"/>
      <c r="K20" s="21"/>
      <c r="L20" s="21"/>
      <c r="M20" s="21"/>
      <c r="N20" s="21"/>
      <c r="O20" s="43"/>
      <c r="P20" s="21"/>
      <c r="Q20" s="21"/>
      <c r="R20" s="21"/>
      <c r="S20" s="21"/>
      <c r="T20" s="21"/>
      <c r="U20" s="21"/>
      <c r="V20" s="21"/>
      <c r="W20" s="21"/>
      <c r="X20" s="21"/>
      <c r="Y20" s="21"/>
      <c r="Z20" s="245"/>
    </row>
    <row r="21" spans="1:30" ht="18" customHeight="1" x14ac:dyDescent="0.2">
      <c r="A21" s="300" t="str">
        <f>IF(P$6="","",P$6)</f>
        <v>P3</v>
      </c>
      <c r="B21" s="254">
        <f t="shared" si="0"/>
        <v>14</v>
      </c>
      <c r="C21" s="21" t="s">
        <v>371</v>
      </c>
      <c r="D21" s="21" t="s">
        <v>371</v>
      </c>
      <c r="E21" s="21" t="s">
        <v>371</v>
      </c>
      <c r="F21" s="21"/>
      <c r="G21" s="21"/>
      <c r="H21" s="21"/>
      <c r="I21" s="21" t="s">
        <v>371</v>
      </c>
      <c r="J21" s="21"/>
      <c r="K21" s="21" t="s">
        <v>371</v>
      </c>
      <c r="L21" s="21"/>
      <c r="M21" s="21"/>
      <c r="N21" s="21" t="s">
        <v>371</v>
      </c>
      <c r="O21" s="21"/>
      <c r="P21" s="43"/>
      <c r="Q21" s="21"/>
      <c r="R21" s="21"/>
      <c r="S21" s="21"/>
      <c r="T21" s="21"/>
      <c r="U21" s="21"/>
      <c r="V21" s="21"/>
      <c r="W21" s="21"/>
      <c r="X21" s="21"/>
      <c r="Y21" s="21"/>
      <c r="Z21" s="245"/>
      <c r="AD21" s="313"/>
    </row>
    <row r="22" spans="1:30" ht="18" customHeight="1" x14ac:dyDescent="0.2">
      <c r="A22" s="300" t="str">
        <f>IF(Q$6="","",Q$6)</f>
        <v>P2</v>
      </c>
      <c r="B22" s="254">
        <f t="shared" si="0"/>
        <v>15</v>
      </c>
      <c r="C22" s="21"/>
      <c r="D22" s="21"/>
      <c r="E22" s="21" t="s">
        <v>371</v>
      </c>
      <c r="F22" s="21"/>
      <c r="G22" s="21" t="s">
        <v>371</v>
      </c>
      <c r="H22" s="21" t="s">
        <v>371</v>
      </c>
      <c r="I22" s="21"/>
      <c r="J22" s="21"/>
      <c r="K22" s="21"/>
      <c r="L22" s="21"/>
      <c r="M22" s="21"/>
      <c r="N22" s="21" t="s">
        <v>371</v>
      </c>
      <c r="O22" s="21"/>
      <c r="P22" s="21"/>
      <c r="Q22" s="43"/>
      <c r="R22" s="21"/>
      <c r="S22" s="21"/>
      <c r="T22" s="21"/>
      <c r="U22" s="21"/>
      <c r="V22" s="21"/>
      <c r="W22" s="21"/>
      <c r="X22" s="21"/>
      <c r="Y22" s="21"/>
      <c r="Z22" s="245"/>
    </row>
    <row r="23" spans="1:30" ht="18" customHeight="1" x14ac:dyDescent="0.2">
      <c r="A23" s="300" t="str">
        <f>IF(R$6="","",R$6)</f>
        <v>P1</v>
      </c>
      <c r="B23" s="254">
        <f t="shared" si="0"/>
        <v>16</v>
      </c>
      <c r="C23" s="21"/>
      <c r="D23" s="21"/>
      <c r="E23" s="21"/>
      <c r="F23" s="21"/>
      <c r="G23" s="21" t="s">
        <v>371</v>
      </c>
      <c r="H23" s="21" t="s">
        <v>371</v>
      </c>
      <c r="I23" s="21" t="s">
        <v>371</v>
      </c>
      <c r="J23" s="21"/>
      <c r="K23" s="21" t="s">
        <v>371</v>
      </c>
      <c r="L23" s="21"/>
      <c r="M23" s="21"/>
      <c r="N23" s="21"/>
      <c r="O23" s="21"/>
      <c r="P23" s="21"/>
      <c r="Q23" s="21"/>
      <c r="R23" s="43"/>
      <c r="S23" s="21"/>
      <c r="T23" s="21"/>
      <c r="U23" s="21"/>
      <c r="V23" s="21"/>
      <c r="W23" s="21"/>
      <c r="X23" s="21"/>
      <c r="Y23" s="21"/>
      <c r="Z23" s="245"/>
    </row>
    <row r="24" spans="1:30" ht="18" customHeight="1" x14ac:dyDescent="0.2">
      <c r="A24" s="300" t="str">
        <f>IF(S$6="","",S$6)</f>
        <v/>
      </c>
      <c r="B24" s="254">
        <f t="shared" si="0"/>
        <v>17</v>
      </c>
      <c r="C24" s="21"/>
      <c r="D24" s="21"/>
      <c r="E24" s="21"/>
      <c r="F24" s="21"/>
      <c r="G24" s="21"/>
      <c r="H24" s="21"/>
      <c r="I24" s="21"/>
      <c r="J24" s="21"/>
      <c r="K24" s="21"/>
      <c r="L24" s="21"/>
      <c r="M24" s="21"/>
      <c r="N24" s="21"/>
      <c r="O24" s="21"/>
      <c r="P24" s="21"/>
      <c r="Q24" s="21"/>
      <c r="R24" s="21"/>
      <c r="S24" s="43"/>
      <c r="T24" s="21"/>
      <c r="U24" s="21"/>
      <c r="V24" s="21"/>
      <c r="W24" s="21"/>
      <c r="X24" s="21"/>
      <c r="Y24" s="21"/>
      <c r="Z24" s="245"/>
    </row>
    <row r="25" spans="1:30" ht="18" customHeight="1" x14ac:dyDescent="0.2">
      <c r="A25" s="300" t="str">
        <f>IF(T$6="","",T$6)</f>
        <v/>
      </c>
      <c r="B25" s="254">
        <f t="shared" si="0"/>
        <v>18</v>
      </c>
      <c r="C25" s="21"/>
      <c r="D25" s="21"/>
      <c r="E25" s="21"/>
      <c r="F25" s="21"/>
      <c r="G25" s="21"/>
      <c r="H25" s="21"/>
      <c r="I25" s="21"/>
      <c r="J25" s="21"/>
      <c r="K25" s="21"/>
      <c r="L25" s="21"/>
      <c r="M25" s="21"/>
      <c r="N25" s="21"/>
      <c r="O25" s="21"/>
      <c r="P25" s="21"/>
      <c r="Q25" s="21"/>
      <c r="R25" s="21"/>
      <c r="S25" s="21"/>
      <c r="T25" s="43"/>
      <c r="U25" s="21"/>
      <c r="V25" s="21"/>
      <c r="W25" s="21"/>
      <c r="X25" s="21"/>
      <c r="Y25" s="21"/>
      <c r="Z25" s="245"/>
    </row>
    <row r="26" spans="1:30" ht="18" customHeight="1" x14ac:dyDescent="0.2">
      <c r="A26" s="300" t="str">
        <f>IF(U$6="","",U$6)</f>
        <v/>
      </c>
      <c r="B26" s="254">
        <f t="shared" si="0"/>
        <v>19</v>
      </c>
      <c r="C26" s="21"/>
      <c r="D26" s="21"/>
      <c r="E26" s="21"/>
      <c r="F26" s="21"/>
      <c r="G26" s="21"/>
      <c r="H26" s="21"/>
      <c r="I26" s="21"/>
      <c r="J26" s="21"/>
      <c r="K26" s="21"/>
      <c r="L26" s="21"/>
      <c r="M26" s="21"/>
      <c r="N26" s="21"/>
      <c r="O26" s="21"/>
      <c r="P26" s="21"/>
      <c r="Q26" s="21"/>
      <c r="R26" s="21"/>
      <c r="S26" s="21"/>
      <c r="T26" s="21"/>
      <c r="U26" s="43"/>
      <c r="V26" s="21"/>
      <c r="W26" s="21"/>
      <c r="X26" s="21"/>
      <c r="Y26" s="21"/>
      <c r="Z26" s="245"/>
    </row>
    <row r="27" spans="1:30" ht="18" customHeight="1" x14ac:dyDescent="0.2">
      <c r="A27" s="300" t="str">
        <f>IF(V$6="","",V$6)</f>
        <v/>
      </c>
      <c r="B27" s="254">
        <f t="shared" si="0"/>
        <v>20</v>
      </c>
      <c r="C27" s="21"/>
      <c r="D27" s="21"/>
      <c r="E27" s="21"/>
      <c r="F27" s="21"/>
      <c r="G27" s="21"/>
      <c r="H27" s="21"/>
      <c r="I27" s="21"/>
      <c r="J27" s="21"/>
      <c r="K27" s="21"/>
      <c r="L27" s="21"/>
      <c r="M27" s="21"/>
      <c r="N27" s="21"/>
      <c r="O27" s="21"/>
      <c r="P27" s="21"/>
      <c r="Q27" s="21"/>
      <c r="R27" s="21"/>
      <c r="S27" s="21"/>
      <c r="T27" s="21"/>
      <c r="U27" s="21"/>
      <c r="V27" s="43"/>
      <c r="W27" s="21"/>
      <c r="X27" s="21"/>
      <c r="Y27" s="21"/>
      <c r="Z27" s="245"/>
    </row>
    <row r="28" spans="1:30" ht="18" customHeight="1" x14ac:dyDescent="0.2">
      <c r="A28" s="300" t="str">
        <f>IF(W$6="","",W$6)</f>
        <v/>
      </c>
      <c r="B28" s="254">
        <f t="shared" si="0"/>
        <v>21</v>
      </c>
      <c r="C28" s="21"/>
      <c r="D28" s="21"/>
      <c r="E28" s="21"/>
      <c r="F28" s="21"/>
      <c r="G28" s="21"/>
      <c r="H28" s="21"/>
      <c r="I28" s="21"/>
      <c r="J28" s="21"/>
      <c r="K28" s="21"/>
      <c r="L28" s="21"/>
      <c r="M28" s="21"/>
      <c r="N28" s="21"/>
      <c r="O28" s="21"/>
      <c r="P28" s="21"/>
      <c r="Q28" s="21"/>
      <c r="R28" s="21"/>
      <c r="S28" s="21"/>
      <c r="T28" s="21"/>
      <c r="U28" s="21"/>
      <c r="V28" s="21"/>
      <c r="W28" s="43"/>
      <c r="X28" s="21"/>
      <c r="Y28" s="21"/>
      <c r="Z28" s="245"/>
    </row>
    <row r="29" spans="1:30" ht="18" customHeight="1" x14ac:dyDescent="0.2">
      <c r="A29" s="300" t="str">
        <f>IF(X$6="","",X$6)</f>
        <v/>
      </c>
      <c r="B29" s="254">
        <f t="shared" si="0"/>
        <v>22</v>
      </c>
      <c r="C29" s="21"/>
      <c r="D29" s="21"/>
      <c r="E29" s="21"/>
      <c r="F29" s="21"/>
      <c r="G29" s="21"/>
      <c r="H29" s="21"/>
      <c r="I29" s="21"/>
      <c r="J29" s="21"/>
      <c r="K29" s="21"/>
      <c r="L29" s="21"/>
      <c r="M29" s="21"/>
      <c r="N29" s="21"/>
      <c r="O29" s="21"/>
      <c r="P29" s="21"/>
      <c r="Q29" s="21"/>
      <c r="R29" s="21"/>
      <c r="S29" s="21"/>
      <c r="T29" s="21"/>
      <c r="U29" s="21"/>
      <c r="V29" s="21"/>
      <c r="W29" s="21"/>
      <c r="X29" s="43"/>
      <c r="Y29" s="21"/>
      <c r="Z29" s="245"/>
    </row>
    <row r="30" spans="1:30" ht="18" customHeight="1" x14ac:dyDescent="0.2">
      <c r="A30" s="300" t="str">
        <f>IF(Y$6="","",Y$6)</f>
        <v/>
      </c>
      <c r="B30" s="254">
        <f t="shared" si="0"/>
        <v>23</v>
      </c>
      <c r="C30" s="21"/>
      <c r="D30" s="21"/>
      <c r="E30" s="21"/>
      <c r="F30" s="21"/>
      <c r="G30" s="21"/>
      <c r="H30" s="21"/>
      <c r="I30" s="21"/>
      <c r="J30" s="21"/>
      <c r="K30" s="21"/>
      <c r="L30" s="21"/>
      <c r="M30" s="21"/>
      <c r="N30" s="21"/>
      <c r="O30" s="21"/>
      <c r="P30" s="21"/>
      <c r="Q30" s="21"/>
      <c r="R30" s="21"/>
      <c r="S30" s="21"/>
      <c r="T30" s="21"/>
      <c r="U30" s="21"/>
      <c r="V30" s="21"/>
      <c r="W30" s="21"/>
      <c r="X30" s="21"/>
      <c r="Y30" s="43"/>
      <c r="Z30" s="245"/>
    </row>
    <row r="31" spans="1:30" ht="18" customHeight="1" thickBot="1" x14ac:dyDescent="0.25">
      <c r="A31" s="300" t="str">
        <f>IF(Z$6="","",Z$6)</f>
        <v/>
      </c>
      <c r="B31" s="255">
        <f t="shared" si="0"/>
        <v>24</v>
      </c>
      <c r="C31" s="21"/>
      <c r="D31" s="21"/>
      <c r="E31" s="21"/>
      <c r="F31" s="21"/>
      <c r="G31" s="21"/>
      <c r="H31" s="21"/>
      <c r="I31" s="21"/>
      <c r="J31" s="21"/>
      <c r="K31" s="21"/>
      <c r="L31" s="21"/>
      <c r="M31" s="21"/>
      <c r="N31" s="21"/>
      <c r="O31" s="21"/>
      <c r="P31" s="21"/>
      <c r="Q31" s="21"/>
      <c r="R31" s="21"/>
      <c r="S31" s="21"/>
      <c r="T31" s="21"/>
      <c r="U31" s="21"/>
      <c r="V31" s="21"/>
      <c r="W31" s="21"/>
      <c r="X31" s="21"/>
      <c r="Y31" s="21"/>
      <c r="Z31" s="246"/>
      <c r="AC31" s="313" t="s">
        <v>371</v>
      </c>
    </row>
    <row r="32" spans="1:30" ht="18" customHeight="1" thickTop="1" x14ac:dyDescent="0.2"/>
    <row r="33" ht="18" customHeight="1" x14ac:dyDescent="0.2"/>
    <row r="34" ht="18" customHeight="1" x14ac:dyDescent="0.2"/>
    <row r="35" s="85" customFormat="1" ht="18" customHeight="1" x14ac:dyDescent="0.2"/>
    <row r="36" ht="18" customHeight="1" x14ac:dyDescent="0.2"/>
    <row r="37" ht="18" customHeight="1" x14ac:dyDescent="0.2"/>
    <row r="38" ht="18"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sheetData>
  <sheetProtection formatCells="0" formatColumns="0" formatRows="0" insertColumns="0" insertRows="0" deleteColumns="0" deleteRows="0"/>
  <protectedRanges>
    <protectedRange sqref="AC12 AE14 C6:Z31" name="Range1"/>
  </protectedRanges>
  <mergeCells count="8">
    <mergeCell ref="U2:Z2"/>
    <mergeCell ref="A1:D1"/>
    <mergeCell ref="A4:Z4"/>
    <mergeCell ref="F1:N1"/>
    <mergeCell ref="A2:B2"/>
    <mergeCell ref="C2:F2"/>
    <mergeCell ref="H2:K2"/>
    <mergeCell ref="U1:Z1"/>
  </mergeCells>
  <phoneticPr fontId="0" type="noConversion"/>
  <conditionalFormatting sqref="A8:A31">
    <cfRule type="cellIs" dxfId="202" priority="446" stopIfTrue="1" operator="equal">
      <formula>0</formula>
    </cfRule>
  </conditionalFormatting>
  <conditionalFormatting sqref="Z8:Z30">
    <cfRule type="expression" dxfId="201" priority="441" stopIfTrue="1">
      <formula>($AC$8="Checker Off")</formula>
    </cfRule>
  </conditionalFormatting>
  <conditionalFormatting sqref="Z8:Z30">
    <cfRule type="cellIs" dxfId="200" priority="442" stopIfTrue="1" operator="notEqual">
      <formula>INDEX($1:$1048576,COLUMN()+5,ROW()-5)</formula>
    </cfRule>
  </conditionalFormatting>
  <conditionalFormatting sqref="AC8">
    <cfRule type="cellIs" dxfId="199" priority="440" stopIfTrue="1" operator="equal">
      <formula>"Checker On"</formula>
    </cfRule>
  </conditionalFormatting>
  <conditionalFormatting sqref="J15 I14 H13 G12 F11 E10 D9 C8">
    <cfRule type="containsText" dxfId="198" priority="439" stopIfTrue="1" operator="containsText" text="W">
      <formula>NOT(ISERROR(SEARCH("W",C8)))</formula>
    </cfRule>
  </conditionalFormatting>
  <conditionalFormatting sqref="J15">
    <cfRule type="expression" dxfId="197" priority="432" stopIfTrue="1">
      <formula>"$J$6=""P1"",""P2"""</formula>
    </cfRule>
    <cfRule type="containsText" dxfId="196" priority="438" stopIfTrue="1" operator="containsText" text="J6=&quot;P&quot;">
      <formula>NOT(ISERROR(SEARCH("J6=""P""",J15)))</formula>
    </cfRule>
  </conditionalFormatting>
  <conditionalFormatting sqref="C6:Z6">
    <cfRule type="containsText" dxfId="195" priority="437" stopIfTrue="1" operator="containsText" text="P">
      <formula>NOT(ISERROR(SEARCH("P",C6)))</formula>
    </cfRule>
  </conditionalFormatting>
  <conditionalFormatting sqref="A6:A31">
    <cfRule type="containsText" dxfId="194" priority="434" stopIfTrue="1" operator="containsText" text="P">
      <formula>NOT(ISERROR(SEARCH("P",A6)))</formula>
    </cfRule>
    <cfRule type="containsText" dxfId="193" priority="436" stopIfTrue="1" operator="containsText" text="P">
      <formula>NOT(ISERROR(SEARCH("P",A6)))</formula>
    </cfRule>
  </conditionalFormatting>
  <conditionalFormatting sqref="A15:A16">
    <cfRule type="containsText" dxfId="192" priority="435" stopIfTrue="1" operator="containsText" text="P">
      <formula>NOT(ISERROR(SEARCH("P",A15)))</formula>
    </cfRule>
  </conditionalFormatting>
  <conditionalFormatting sqref="A6:Z6">
    <cfRule type="containsText" dxfId="191" priority="433" stopIfTrue="1" operator="containsText" text="P">
      <formula>NOT(ISERROR(SEARCH("P",A6)))</formula>
    </cfRule>
  </conditionalFormatting>
  <conditionalFormatting sqref="Z8:Z30">
    <cfRule type="expression" dxfId="190" priority="431" stopIfTrue="1">
      <formula>OR(Z$6="P1",Z$6="P2",Z$6="P3",Z$6="P4",Z$6="P5",Z$6="P6",Z$6="P7",Z$6="P8")</formula>
    </cfRule>
  </conditionalFormatting>
  <conditionalFormatting sqref="Y8:Y29">
    <cfRule type="expression" dxfId="189" priority="429" stopIfTrue="1">
      <formula>($AC$8="Checker Off")</formula>
    </cfRule>
  </conditionalFormatting>
  <conditionalFormatting sqref="Y8:Y29">
    <cfRule type="cellIs" dxfId="188" priority="430" stopIfTrue="1" operator="notEqual">
      <formula>INDEX($1:$1048576,COLUMN()+5,ROW()-5)</formula>
    </cfRule>
  </conditionalFormatting>
  <conditionalFormatting sqref="Y8:Y29">
    <cfRule type="expression" dxfId="187" priority="428" stopIfTrue="1">
      <formula>OR(Y$6="P1",Y$6="P2",Y$6="P3",Y$6="P4",Y$6="P5",Y$6="P6",Y$6="P7",Y$6="P8")</formula>
    </cfRule>
  </conditionalFormatting>
  <conditionalFormatting sqref="X8:X28">
    <cfRule type="expression" dxfId="186" priority="425" stopIfTrue="1">
      <formula>($AC$8="Checker Off")</formula>
    </cfRule>
  </conditionalFormatting>
  <conditionalFormatting sqref="X8:X28">
    <cfRule type="cellIs" dxfId="185" priority="426" stopIfTrue="1" operator="notEqual">
      <formula>INDEX($1:$1048576,COLUMN()+5,ROW()-5)</formula>
    </cfRule>
  </conditionalFormatting>
  <conditionalFormatting sqref="X8:X28">
    <cfRule type="expression" dxfId="184" priority="424" stopIfTrue="1">
      <formula>OR(X$6="P1",X$6="P2",X$6="P3",X$6="P4",X$6="P5",X$6="P6",X$6="P7",X$6="P8")</formula>
    </cfRule>
  </conditionalFormatting>
  <conditionalFormatting sqref="W8:W27">
    <cfRule type="expression" dxfId="183" priority="419" stopIfTrue="1">
      <formula>($AC$8="Checker Off")</formula>
    </cfRule>
  </conditionalFormatting>
  <conditionalFormatting sqref="W8:W27">
    <cfRule type="cellIs" dxfId="182" priority="420" stopIfTrue="1" operator="notEqual">
      <formula>INDEX($1:$1048576,COLUMN()+5,ROW()-5)</formula>
    </cfRule>
  </conditionalFormatting>
  <conditionalFormatting sqref="W8:W27">
    <cfRule type="expression" dxfId="181" priority="418" stopIfTrue="1">
      <formula>OR(W$6="P1",W$6="P2",W$6="P3",W$6="P4",W$6="P5",W$6="P6",W$6="P7",W$6="P8")</formula>
    </cfRule>
  </conditionalFormatting>
  <conditionalFormatting sqref="V8:V26">
    <cfRule type="expression" dxfId="180" priority="416" stopIfTrue="1">
      <formula>($AC$8="Checker Off")</formula>
    </cfRule>
  </conditionalFormatting>
  <conditionalFormatting sqref="V8:V26">
    <cfRule type="cellIs" dxfId="179" priority="417" stopIfTrue="1" operator="notEqual">
      <formula>INDEX($1:$1048576,COLUMN()+5,ROW()-5)</formula>
    </cfRule>
  </conditionalFormatting>
  <conditionalFormatting sqref="V8:V26">
    <cfRule type="expression" dxfId="178" priority="415" stopIfTrue="1">
      <formula>OR(V$6="P1",V$6="P2",V$6="P3",V$6="P4",V$6="P5",V$6="P6",V$6="P7",V$6="P8")</formula>
    </cfRule>
  </conditionalFormatting>
  <conditionalFormatting sqref="U8:U25">
    <cfRule type="expression" dxfId="177" priority="413" stopIfTrue="1">
      <formula>($AC$8="Checker Off")</formula>
    </cfRule>
  </conditionalFormatting>
  <conditionalFormatting sqref="U8:U25">
    <cfRule type="cellIs" dxfId="176" priority="414" stopIfTrue="1" operator="notEqual">
      <formula>INDEX($1:$1048576,COLUMN()+5,ROW()-5)</formula>
    </cfRule>
  </conditionalFormatting>
  <conditionalFormatting sqref="U8:U25">
    <cfRule type="expression" dxfId="175" priority="412" stopIfTrue="1">
      <formula>OR(U$6="P1",U$6="P2",U$6="P3",U$6="P4",U$6="P5",U$6="P6",U$6="P7",U$6="P8")</formula>
    </cfRule>
  </conditionalFormatting>
  <conditionalFormatting sqref="T8:T24">
    <cfRule type="expression" dxfId="174" priority="410" stopIfTrue="1">
      <formula>($AC$8="Checker Off")</formula>
    </cfRule>
  </conditionalFormatting>
  <conditionalFormatting sqref="T8:T24">
    <cfRule type="cellIs" dxfId="173" priority="411" stopIfTrue="1" operator="notEqual">
      <formula>INDEX($1:$1048576,COLUMN()+5,ROW()-5)</formula>
    </cfRule>
  </conditionalFormatting>
  <conditionalFormatting sqref="T8:T24">
    <cfRule type="expression" dxfId="172" priority="409" stopIfTrue="1">
      <formula>OR(T$6="P1",T$6="P2",T$6="P3",T$6="P4",T$6="P5",T$6="P6",T$6="P7",T$6="P8")</formula>
    </cfRule>
  </conditionalFormatting>
  <conditionalFormatting sqref="S8:S23">
    <cfRule type="expression" dxfId="171" priority="407" stopIfTrue="1">
      <formula>($AC$8="Checker Off")</formula>
    </cfRule>
  </conditionalFormatting>
  <conditionalFormatting sqref="S8:S23">
    <cfRule type="cellIs" dxfId="170" priority="408" stopIfTrue="1" operator="notEqual">
      <formula>INDEX($1:$1048576,COLUMN()+5,ROW()-5)</formula>
    </cfRule>
  </conditionalFormatting>
  <conditionalFormatting sqref="S8:S23">
    <cfRule type="expression" dxfId="169" priority="406" stopIfTrue="1">
      <formula>OR(S$6="P1",S$6="P2",S$6="P3",S$6="P4",S$6="P5",S$6="P6",S$6="P7",S$6="P8")</formula>
    </cfRule>
  </conditionalFormatting>
  <conditionalFormatting sqref="R8:R22">
    <cfRule type="expression" dxfId="168" priority="404" stopIfTrue="1">
      <formula>($AC$8="Checker Off")</formula>
    </cfRule>
  </conditionalFormatting>
  <conditionalFormatting sqref="R8:R22">
    <cfRule type="cellIs" dxfId="167" priority="405" stopIfTrue="1" operator="notEqual">
      <formula>INDEX($1:$1048576,COLUMN()+5,ROW()-5)</formula>
    </cfRule>
  </conditionalFormatting>
  <conditionalFormatting sqref="R8:R22">
    <cfRule type="expression" dxfId="166" priority="403" stopIfTrue="1">
      <formula>OR(R$6="P1",R$6="P2",R$6="P3",R$6="P4",R$6="P5",R$6="P6",R$6="P7",R$6="P8")</formula>
    </cfRule>
  </conditionalFormatting>
  <conditionalFormatting sqref="Q8:Q21">
    <cfRule type="expression" dxfId="165" priority="401" stopIfTrue="1">
      <formula>($AC$8="Checker Off")</formula>
    </cfRule>
  </conditionalFormatting>
  <conditionalFormatting sqref="Q8:Q21">
    <cfRule type="cellIs" dxfId="164" priority="402" stopIfTrue="1" operator="notEqual">
      <formula>INDEX($1:$1048576,COLUMN()+5,ROW()-5)</formula>
    </cfRule>
  </conditionalFormatting>
  <conditionalFormatting sqref="Q8:Q21">
    <cfRule type="expression" dxfId="163" priority="400" stopIfTrue="1">
      <formula>OR(Q$6="P1",Q$6="P2",Q$6="P3",Q$6="P4",Q$6="P5",Q$6="P6",Q$6="P7",Q$6="P8")</formula>
    </cfRule>
  </conditionalFormatting>
  <conditionalFormatting sqref="P8:P20">
    <cfRule type="expression" dxfId="162" priority="398" stopIfTrue="1">
      <formula>($AC$8="Checker Off")</formula>
    </cfRule>
  </conditionalFormatting>
  <conditionalFormatting sqref="P8:P20">
    <cfRule type="cellIs" dxfId="161" priority="399" stopIfTrue="1" operator="notEqual">
      <formula>INDEX($1:$1048576,COLUMN()+5,ROW()-5)</formula>
    </cfRule>
  </conditionalFormatting>
  <conditionalFormatting sqref="P8:P20">
    <cfRule type="expression" dxfId="160" priority="397" stopIfTrue="1">
      <formula>OR(P$6="P1",P$6="P2",P$6="P3",P$6="P4",P$6="P5",P$6="P6",P$6="P7",P$6="P8")</formula>
    </cfRule>
  </conditionalFormatting>
  <conditionalFormatting sqref="O8:O19">
    <cfRule type="expression" dxfId="159" priority="395" stopIfTrue="1">
      <formula>($AC$8="Checker Off")</formula>
    </cfRule>
  </conditionalFormatting>
  <conditionalFormatting sqref="O8:O19">
    <cfRule type="cellIs" dxfId="158" priority="396" stopIfTrue="1" operator="notEqual">
      <formula>INDEX($1:$1048576,COLUMN()+5,ROW()-5)</formula>
    </cfRule>
  </conditionalFormatting>
  <conditionalFormatting sqref="O8:O19">
    <cfRule type="expression" dxfId="157" priority="394" stopIfTrue="1">
      <formula>OR(O$6="P1",O$6="P2",O$6="P3",O$6="P4",O$6="P5",O$6="P6",O$6="P7",O$6="P8")</formula>
    </cfRule>
  </conditionalFormatting>
  <conditionalFormatting sqref="N8:N18">
    <cfRule type="expression" dxfId="156" priority="392" stopIfTrue="1">
      <formula>($AC$8="Checker Off")</formula>
    </cfRule>
  </conditionalFormatting>
  <conditionalFormatting sqref="N8:N18">
    <cfRule type="cellIs" dxfId="155" priority="393" stopIfTrue="1" operator="notEqual">
      <formula>INDEX($1:$1048576,COLUMN()+5,ROW()-5)</formula>
    </cfRule>
  </conditionalFormatting>
  <conditionalFormatting sqref="N8:N18">
    <cfRule type="expression" dxfId="154" priority="391" stopIfTrue="1">
      <formula>OR(N$6="P1",N$6="P2",N$6="P3",N$6="P4",N$6="P5",N$6="P6",N$6="P7",N$6="P8")</formula>
    </cfRule>
  </conditionalFormatting>
  <conditionalFormatting sqref="M8:M17">
    <cfRule type="expression" dxfId="153" priority="389" stopIfTrue="1">
      <formula>($AC$8="Checker Off")</formula>
    </cfRule>
  </conditionalFormatting>
  <conditionalFormatting sqref="M8:M17">
    <cfRule type="cellIs" dxfId="152" priority="390" stopIfTrue="1" operator="notEqual">
      <formula>INDEX($1:$1048576,COLUMN()+5,ROW()-5)</formula>
    </cfRule>
  </conditionalFormatting>
  <conditionalFormatting sqref="M8:M17">
    <cfRule type="expression" dxfId="151" priority="388" stopIfTrue="1">
      <formula>OR(M$6="P1",M$6="P2",M$6="P3",M$6="P4",M$6="P5",M$6="P6",M$6="P7",M$6="P8")</formula>
    </cfRule>
  </conditionalFormatting>
  <conditionalFormatting sqref="L8:L16">
    <cfRule type="expression" dxfId="150" priority="386" stopIfTrue="1">
      <formula>($AC$8="Checker Off")</formula>
    </cfRule>
  </conditionalFormatting>
  <conditionalFormatting sqref="L8:L16">
    <cfRule type="cellIs" dxfId="149" priority="387" stopIfTrue="1" operator="notEqual">
      <formula>INDEX($1:$1048576,COLUMN()+5,ROW()-5)</formula>
    </cfRule>
  </conditionalFormatting>
  <conditionalFormatting sqref="L8:L16">
    <cfRule type="expression" dxfId="148" priority="385" stopIfTrue="1">
      <formula>OR(L$6="P1",L$6="P2",L$6="P3",L$6="P4",L$6="P5",L$6="P6",L$6="P7",L$6="P8")</formula>
    </cfRule>
  </conditionalFormatting>
  <conditionalFormatting sqref="K8:K15">
    <cfRule type="expression" dxfId="147" priority="383" stopIfTrue="1">
      <formula>($AC$8="Checker Off")</formula>
    </cfRule>
  </conditionalFormatting>
  <conditionalFormatting sqref="K8:K15">
    <cfRule type="cellIs" dxfId="146" priority="384" stopIfTrue="1" operator="notEqual">
      <formula>INDEX($1:$1048576,COLUMN()+5,ROW()-5)</formula>
    </cfRule>
  </conditionalFormatting>
  <conditionalFormatting sqref="K8:K15">
    <cfRule type="expression" dxfId="145" priority="382" stopIfTrue="1">
      <formula>OR(K$6="P1",K$6="P2",K$6="P3",K$6="P4",K$6="P5",K$6="P6",K$6="P7",K$6="P8")</formula>
    </cfRule>
  </conditionalFormatting>
  <conditionalFormatting sqref="J14">
    <cfRule type="expression" dxfId="144" priority="380" stopIfTrue="1">
      <formula>($AC$8="Checker Off")</formula>
    </cfRule>
  </conditionalFormatting>
  <conditionalFormatting sqref="J14">
    <cfRule type="cellIs" dxfId="143" priority="381" stopIfTrue="1" operator="notEqual">
      <formula>INDEX($1:$1048576,COLUMN()+5,ROW()-5)</formula>
    </cfRule>
  </conditionalFormatting>
  <conditionalFormatting sqref="J14">
    <cfRule type="expression" dxfId="142" priority="379" stopIfTrue="1">
      <formula>OR(J$6="P1",J$6="P2",J$6="P3",J$6="P4",J$6="P5",J$6="P6",J$6="P7",J$6="P8")</formula>
    </cfRule>
  </conditionalFormatting>
  <conditionalFormatting sqref="I12">
    <cfRule type="expression" dxfId="141" priority="377" stopIfTrue="1">
      <formula>($AC$8="Checker Off")</formula>
    </cfRule>
  </conditionalFormatting>
  <conditionalFormatting sqref="I12">
    <cfRule type="cellIs" dxfId="140" priority="378" stopIfTrue="1" operator="notEqual">
      <formula>INDEX($1:$1048576,COLUMN()+5,ROW()-5)</formula>
    </cfRule>
  </conditionalFormatting>
  <conditionalFormatting sqref="I12">
    <cfRule type="expression" dxfId="139" priority="376" stopIfTrue="1">
      <formula>OR(I$6="P1",I$6="P2",I$6="P3",I$6="P4",I$6="P5",I$6="P6",I$6="P7",I$6="P8")</formula>
    </cfRule>
  </conditionalFormatting>
  <conditionalFormatting sqref="F8:F10">
    <cfRule type="expression" dxfId="138" priority="368" stopIfTrue="1">
      <formula>($AC$8="Checker Off")</formula>
    </cfRule>
  </conditionalFormatting>
  <conditionalFormatting sqref="F8:F10">
    <cfRule type="cellIs" dxfId="137" priority="369" stopIfTrue="1" operator="notEqual">
      <formula>INDEX($1:$1048576,COLUMN()+5,ROW()-5)</formula>
    </cfRule>
  </conditionalFormatting>
  <conditionalFormatting sqref="F8:F10">
    <cfRule type="expression" dxfId="136" priority="367" stopIfTrue="1">
      <formula>OR(F$6="P1",F$6="P2",F$6="P3",F$6="P4",F$6="P5",F$6="P6",F$6="P7",F$6="P8")</formula>
    </cfRule>
  </conditionalFormatting>
  <conditionalFormatting sqref="E8">
    <cfRule type="expression" dxfId="135" priority="365" stopIfTrue="1">
      <formula>($AC$8="Checker Off")</formula>
    </cfRule>
  </conditionalFormatting>
  <conditionalFormatting sqref="E8">
    <cfRule type="cellIs" dxfId="134" priority="366" stopIfTrue="1" operator="notEqual">
      <formula>INDEX($1:$1048576,COLUMN()+5,ROW()-5)</formula>
    </cfRule>
  </conditionalFormatting>
  <conditionalFormatting sqref="E8">
    <cfRule type="expression" dxfId="133" priority="364" stopIfTrue="1">
      <formula>OR(E$6="P1",E$6="P2",E$6="P3",E$6="P4",E$6="P5",E$6="P6",E$6="P7",E$6="P8")</formula>
    </cfRule>
  </conditionalFormatting>
  <conditionalFormatting sqref="D8">
    <cfRule type="expression" dxfId="132" priority="362" stopIfTrue="1">
      <formula>($AC$8="Checker Off")</formula>
    </cfRule>
  </conditionalFormatting>
  <conditionalFormatting sqref="D8">
    <cfRule type="cellIs" dxfId="131" priority="363" stopIfTrue="1" operator="notEqual">
      <formula>INDEX($1:$1048576,COLUMN()+5,ROW()-5)</formula>
    </cfRule>
  </conditionalFormatting>
  <conditionalFormatting sqref="D8">
    <cfRule type="expression" dxfId="130" priority="361" stopIfTrue="1">
      <formula>OR(D$6="P1",D$6="P2",D$6="P3",D$6="P4",D$6="P5",D$6="P6",D$6="P7",D$6="P8")</formula>
    </cfRule>
  </conditionalFormatting>
  <conditionalFormatting sqref="C9:C10">
    <cfRule type="expression" dxfId="129" priority="359" stopIfTrue="1">
      <formula>($AC$8="Checker Off")</formula>
    </cfRule>
  </conditionalFormatting>
  <conditionalFormatting sqref="C9:C10">
    <cfRule type="cellIs" dxfId="128" priority="360" stopIfTrue="1" operator="notEqual">
      <formula>INDEX($1:$1048576,COLUMN()+5,ROW()-5)</formula>
    </cfRule>
  </conditionalFormatting>
  <conditionalFormatting sqref="C9:C10">
    <cfRule type="expression" dxfId="127" priority="358" stopIfTrue="1">
      <formula>OR($A9="P1",$A9="P2",$A9="P3",$A9="P4",$A9="P5",$A9="P6",$A9="P7",$A9="P8")</formula>
    </cfRule>
  </conditionalFormatting>
  <conditionalFormatting sqref="G8:H11">
    <cfRule type="expression" dxfId="126" priority="209" stopIfTrue="1">
      <formula>($AC$8="Checker Off")</formula>
    </cfRule>
  </conditionalFormatting>
  <conditionalFormatting sqref="G8:H11">
    <cfRule type="cellIs" dxfId="125" priority="210" stopIfTrue="1" operator="notEqual">
      <formula>INDEX($1:$1048576,COLUMN()+5,ROW()-5)</formula>
    </cfRule>
  </conditionalFormatting>
  <conditionalFormatting sqref="G8:H11">
    <cfRule type="expression" dxfId="124" priority="208" stopIfTrue="1">
      <formula>OR(G$6="P1",G$6="P2",G$6="P3",G$6="P4",G$6="P5",G$6="P6",G$6="P7",G$6="P8")</formula>
    </cfRule>
  </conditionalFormatting>
  <conditionalFormatting sqref="C11">
    <cfRule type="expression" dxfId="123" priority="203" stopIfTrue="1">
      <formula>($AC$8="Checker Off")</formula>
    </cfRule>
  </conditionalFormatting>
  <conditionalFormatting sqref="C11">
    <cfRule type="cellIs" dxfId="122" priority="204" stopIfTrue="1" operator="notEqual">
      <formula>INDEX($1:$1048576,COLUMN()+5,ROW()-5)</formula>
    </cfRule>
  </conditionalFormatting>
  <conditionalFormatting sqref="C11">
    <cfRule type="expression" dxfId="121" priority="202" stopIfTrue="1">
      <formula>OR($A11="P1",$A11="P2",$A11="P3",$A11="P4",$A11="P5",$A11="P6",$A11="P7",$A11="P8")</formula>
    </cfRule>
  </conditionalFormatting>
  <conditionalFormatting sqref="D10">
    <cfRule type="expression" dxfId="120" priority="200" stopIfTrue="1">
      <formula>($AC$8="Checker Off")</formula>
    </cfRule>
  </conditionalFormatting>
  <conditionalFormatting sqref="D10">
    <cfRule type="cellIs" dxfId="119" priority="201" stopIfTrue="1" operator="notEqual">
      <formula>INDEX($1:$1048576,COLUMN()+5,ROW()-5)</formula>
    </cfRule>
  </conditionalFormatting>
  <conditionalFormatting sqref="D10">
    <cfRule type="expression" dxfId="118" priority="199" stopIfTrue="1">
      <formula>OR(D$6="P1",D$6="P2",D$6="P3",D$6="P4",D$6="P5",D$6="P6",D$6="P7",D$6="P8")</formula>
    </cfRule>
  </conditionalFormatting>
  <conditionalFormatting sqref="AC12">
    <cfRule type="expression" dxfId="117" priority="194" stopIfTrue="1">
      <formula>($AC$8="Checker Off")</formula>
    </cfRule>
  </conditionalFormatting>
  <conditionalFormatting sqref="AC12">
    <cfRule type="cellIs" dxfId="116" priority="195" stopIfTrue="1" operator="notEqual">
      <formula>INDEX($1:$1048576,COLUMN()+5,ROW()-5)</formula>
    </cfRule>
  </conditionalFormatting>
  <conditionalFormatting sqref="AC12">
    <cfRule type="expression" dxfId="115" priority="193" stopIfTrue="1">
      <formula>OR(AC$6="P1",AC$6="P2",AC$6="P3",AC$6="P4",AC$6="P5",AC$6="P6",AC$6="P7",AC$6="P8")</formula>
    </cfRule>
  </conditionalFormatting>
  <conditionalFormatting sqref="E9">
    <cfRule type="expression" dxfId="114" priority="164" stopIfTrue="1">
      <formula>($AC$8="Checker Off")</formula>
    </cfRule>
  </conditionalFormatting>
  <conditionalFormatting sqref="E9">
    <cfRule type="cellIs" dxfId="113" priority="165" stopIfTrue="1" operator="notEqual">
      <formula>INDEX($1:$1048576,COLUMN()+5,ROW()-5)</formula>
    </cfRule>
  </conditionalFormatting>
  <conditionalFormatting sqref="E9">
    <cfRule type="expression" dxfId="112" priority="163" stopIfTrue="1">
      <formula>OR(E$6="P1",E$6="P2",E$6="P3",E$6="P4",E$6="P5",E$6="P6",E$6="P7",E$6="P8")</formula>
    </cfRule>
  </conditionalFormatting>
  <conditionalFormatting sqref="AE14">
    <cfRule type="expression" dxfId="111" priority="161" stopIfTrue="1">
      <formula>($AC$8="Checker Off")</formula>
    </cfRule>
  </conditionalFormatting>
  <conditionalFormatting sqref="AE14">
    <cfRule type="cellIs" dxfId="110" priority="162" stopIfTrue="1" operator="notEqual">
      <formula>INDEX($1:$1048576,COLUMN()+5,ROW()-5)</formula>
    </cfRule>
  </conditionalFormatting>
  <conditionalFormatting sqref="AE14">
    <cfRule type="expression" dxfId="109" priority="160" stopIfTrue="1">
      <formula>OR(AE$6="P1",AE$6="P2",AE$6="P3",AE$6="P4",AE$6="P5",AE$6="P6",AE$6="P7",AE$6="P8")</formula>
    </cfRule>
  </conditionalFormatting>
  <conditionalFormatting sqref="H12">
    <cfRule type="expression" dxfId="108" priority="158" stopIfTrue="1">
      <formula>($AC$8="Checker Off")</formula>
    </cfRule>
  </conditionalFormatting>
  <conditionalFormatting sqref="H12">
    <cfRule type="cellIs" dxfId="107" priority="159" stopIfTrue="1" operator="notEqual">
      <formula>INDEX($1:$1048576,COLUMN()+5,ROW()-5)</formula>
    </cfRule>
  </conditionalFormatting>
  <conditionalFormatting sqref="H12">
    <cfRule type="expression" dxfId="106" priority="157" stopIfTrue="1">
      <formula>OR(H$6="P1",H$6="P2",H$6="P3",H$6="P4",H$6="P5",H$6="P6",H$6="P7",H$6="P8")</formula>
    </cfRule>
  </conditionalFormatting>
  <conditionalFormatting sqref="I8">
    <cfRule type="expression" dxfId="105" priority="152" stopIfTrue="1">
      <formula>($AC$8="Checker Off")</formula>
    </cfRule>
  </conditionalFormatting>
  <conditionalFormatting sqref="I8">
    <cfRule type="cellIs" dxfId="104" priority="153" stopIfTrue="1" operator="notEqual">
      <formula>INDEX($1:$1048576,COLUMN()+5,ROW()-5)</formula>
    </cfRule>
  </conditionalFormatting>
  <conditionalFormatting sqref="I8">
    <cfRule type="expression" dxfId="103" priority="151" stopIfTrue="1">
      <formula>OR($I$6="P1",$I$6="P2",I$6="P3",$I$6="P4",$I$6="P5",$I$6="P6",I$6="P7",I$6="P8")</formula>
    </cfRule>
  </conditionalFormatting>
  <conditionalFormatting sqref="J8">
    <cfRule type="expression" dxfId="102" priority="149" stopIfTrue="1">
      <formula>($AC$8="Checker Off")</formula>
    </cfRule>
  </conditionalFormatting>
  <conditionalFormatting sqref="J8">
    <cfRule type="cellIs" dxfId="101" priority="150" stopIfTrue="1" operator="notEqual">
      <formula>INDEX($1:$1048576,COLUMN()+5,ROW()-5)</formula>
    </cfRule>
  </conditionalFormatting>
  <conditionalFormatting sqref="J8">
    <cfRule type="expression" dxfId="100" priority="148" stopIfTrue="1">
      <formula>OR(J$6="P1",J$6="P2",J$6="P3",J$6="P4",J$6="P5",J$6="P6",J$6="P7",J$6="P8")</formula>
    </cfRule>
  </conditionalFormatting>
  <conditionalFormatting sqref="I11:J11 J9:J10">
    <cfRule type="expression" dxfId="99" priority="146" stopIfTrue="1">
      <formula>($AC$8="Checker Off")</formula>
    </cfRule>
  </conditionalFormatting>
  <conditionalFormatting sqref="I11:J11 J9:J10">
    <cfRule type="cellIs" dxfId="98" priority="147" stopIfTrue="1" operator="notEqual">
      <formula>INDEX($1:$1048576,COLUMN()+5,ROW()-5)</formula>
    </cfRule>
  </conditionalFormatting>
  <conditionalFormatting sqref="I11:J11 J9:J10">
    <cfRule type="expression" dxfId="97" priority="145" stopIfTrue="1">
      <formula>OR($J$6="P1",$JI$6="P2",$J$6="P3",$J$6="P4",$J$6="P5",$J$6="P6",$J$6="P7",$J$6="P8")</formula>
    </cfRule>
  </conditionalFormatting>
  <conditionalFormatting sqref="J12">
    <cfRule type="expression" dxfId="96" priority="137" stopIfTrue="1">
      <formula>($AC$8="Checker Off")</formula>
    </cfRule>
  </conditionalFormatting>
  <conditionalFormatting sqref="J12">
    <cfRule type="cellIs" dxfId="95" priority="138" stopIfTrue="1" operator="notEqual">
      <formula>INDEX($1:$1048576,COLUMN()+5,ROW()-5)</formula>
    </cfRule>
  </conditionalFormatting>
  <conditionalFormatting sqref="J12">
    <cfRule type="expression" dxfId="94" priority="136" stopIfTrue="1">
      <formula>OR(J$6="P1",J$6="P2",J$6="P3",J$6="P4",J$6="P5",J$6="P6",J$6="P7",J$6="P8")</formula>
    </cfRule>
  </conditionalFormatting>
  <conditionalFormatting sqref="I9">
    <cfRule type="expression" dxfId="93" priority="125" stopIfTrue="1">
      <formula>($AC$8="Checker Off")</formula>
    </cfRule>
  </conditionalFormatting>
  <conditionalFormatting sqref="I9">
    <cfRule type="cellIs" dxfId="92" priority="126" stopIfTrue="1" operator="notEqual">
      <formula>INDEX($1:$1048576,COLUMN()+5,ROW()-5)</formula>
    </cfRule>
  </conditionalFormatting>
  <conditionalFormatting sqref="I9">
    <cfRule type="expression" dxfId="91" priority="124" stopIfTrue="1">
      <formula>OR(I$6="P1",I$6="P2",I$6="P3",I$6="P4",I$6="P5",I$6="P6",I$6="P7",I$6="P8")</formula>
    </cfRule>
  </conditionalFormatting>
  <conditionalFormatting sqref="I10">
    <cfRule type="expression" dxfId="90" priority="122" stopIfTrue="1">
      <formula>($AC$8="Checker Off")</formula>
    </cfRule>
  </conditionalFormatting>
  <conditionalFormatting sqref="I10">
    <cfRule type="cellIs" dxfId="89" priority="123" stopIfTrue="1" operator="notEqual">
      <formula>INDEX($1:$1048576,COLUMN()+5,ROW()-5)</formula>
    </cfRule>
  </conditionalFormatting>
  <conditionalFormatting sqref="I10">
    <cfRule type="expression" dxfId="88" priority="121" stopIfTrue="1">
      <formula>OR(I$6="P1",I$6="P2",I$6="P3",I$6="P4",I$6="P5",I$6="P6",I$6="P7",I$6="P8")</formula>
    </cfRule>
  </conditionalFormatting>
  <conditionalFormatting sqref="I13">
    <cfRule type="expression" dxfId="87" priority="119" stopIfTrue="1">
      <formula>($AC$8="Checker Off")</formula>
    </cfRule>
  </conditionalFormatting>
  <conditionalFormatting sqref="I13">
    <cfRule type="cellIs" dxfId="86" priority="120" stopIfTrue="1" operator="notEqual">
      <formula>INDEX($1:$1048576,COLUMN()+5,ROW()-5)</formula>
    </cfRule>
  </conditionalFormatting>
  <conditionalFormatting sqref="I13">
    <cfRule type="expression" dxfId="85" priority="118" stopIfTrue="1">
      <formula>OR(I$6="P1",I$6="P2",I$6="P3",I$6="P4",I$6="P5",I$6="P6",I$6="P7",I$6="P8")</formula>
    </cfRule>
  </conditionalFormatting>
  <conditionalFormatting sqref="J13">
    <cfRule type="expression" dxfId="84" priority="116" stopIfTrue="1">
      <formula>($AC$8="Checker Off")</formula>
    </cfRule>
  </conditionalFormatting>
  <conditionalFormatting sqref="J13">
    <cfRule type="cellIs" dxfId="83" priority="117" stopIfTrue="1" operator="notEqual">
      <formula>INDEX($1:$1048576,COLUMN()+5,ROW()-5)</formula>
    </cfRule>
  </conditionalFormatting>
  <conditionalFormatting sqref="J13">
    <cfRule type="expression" dxfId="82" priority="115" stopIfTrue="1">
      <formula>OR(J$6="P1",J$6="P2",J$6="P3",J$6="P4",J$6="P5",J$6="P6",J$6="P7",J$6="P8")</formula>
    </cfRule>
  </conditionalFormatting>
  <conditionalFormatting sqref="D11">
    <cfRule type="expression" dxfId="81" priority="65" stopIfTrue="1">
      <formula>($AC$8="Checker Off")</formula>
    </cfRule>
  </conditionalFormatting>
  <conditionalFormatting sqref="D11">
    <cfRule type="cellIs" dxfId="80" priority="66" stopIfTrue="1" operator="notEqual">
      <formula>INDEX($1:$1048576,COLUMN()+5,ROW()-5)</formula>
    </cfRule>
  </conditionalFormatting>
  <conditionalFormatting sqref="D11">
    <cfRule type="expression" dxfId="79" priority="64" stopIfTrue="1">
      <formula>OR($A11="P1",$A11="P2",$A11="P3",$A11="P4",$A11="P5",$A11="P6",$A11="P7",$A11="P8")</formula>
    </cfRule>
  </conditionalFormatting>
  <conditionalFormatting sqref="E11">
    <cfRule type="expression" dxfId="78" priority="62" stopIfTrue="1">
      <formula>($AC$8="Checker Off")</formula>
    </cfRule>
  </conditionalFormatting>
  <conditionalFormatting sqref="E11">
    <cfRule type="cellIs" dxfId="77" priority="63" stopIfTrue="1" operator="notEqual">
      <formula>INDEX($1:$1048576,COLUMN()+5,ROW()-5)</formula>
    </cfRule>
  </conditionalFormatting>
  <conditionalFormatting sqref="E11">
    <cfRule type="expression" dxfId="76" priority="61" stopIfTrue="1">
      <formula>OR($A11="P1",$A11="P2",$A11="P3",$A11="P4",$A11="P5",$A11="P6",$A11="P7",$A11="P8")</formula>
    </cfRule>
  </conditionalFormatting>
  <conditionalFormatting sqref="C12:F31">
    <cfRule type="expression" dxfId="75" priority="59" stopIfTrue="1">
      <formula>($AC$8="Checker Off")</formula>
    </cfRule>
  </conditionalFormatting>
  <conditionalFormatting sqref="C12:F31">
    <cfRule type="cellIs" dxfId="74" priority="60" stopIfTrue="1" operator="notEqual">
      <formula>INDEX($1:$1048576,COLUMN()+5,ROW()-5)</formula>
    </cfRule>
  </conditionalFormatting>
  <conditionalFormatting sqref="C12:F31">
    <cfRule type="expression" dxfId="73" priority="58" stopIfTrue="1">
      <formula>OR($A12="P1",$A12="P2",$A12="P3",$A12="P4",$A12="P5",$A12="P6",$A12="P7",$A12="P8")</formula>
    </cfRule>
  </conditionalFormatting>
  <conditionalFormatting sqref="G13:G31">
    <cfRule type="expression" dxfId="72" priority="56" stopIfTrue="1">
      <formula>($AC$8="Checker Off")</formula>
    </cfRule>
  </conditionalFormatting>
  <conditionalFormatting sqref="G13:G31">
    <cfRule type="cellIs" dxfId="71" priority="57" stopIfTrue="1" operator="notEqual">
      <formula>INDEX($1:$1048576,COLUMN()+5,ROW()-5)</formula>
    </cfRule>
  </conditionalFormatting>
  <conditionalFormatting sqref="G13:G31">
    <cfRule type="expression" dxfId="70" priority="55" stopIfTrue="1">
      <formula>OR($A13="P1",$A13="P2",$A13="P3",$A13="P4",$A13="P5",$A13="P6",$A13="P7",$A13="P8")</formula>
    </cfRule>
  </conditionalFormatting>
  <conditionalFormatting sqref="H14:H31">
    <cfRule type="expression" dxfId="69" priority="53" stopIfTrue="1">
      <formula>($AC$8="Checker Off")</formula>
    </cfRule>
  </conditionalFormatting>
  <conditionalFormatting sqref="H14:H31">
    <cfRule type="cellIs" dxfId="68" priority="54" stopIfTrue="1" operator="notEqual">
      <formula>INDEX($1:$1048576,COLUMN()+5,ROW()-5)</formula>
    </cfRule>
  </conditionalFormatting>
  <conditionalFormatting sqref="H14:H31">
    <cfRule type="expression" dxfId="67" priority="52" stopIfTrue="1">
      <formula>OR($A14="P1",$A14="P2",$A14="P3",$A14="P4",$A14="P5",$A14="P6",$A14="P7",$A14="P8")</formula>
    </cfRule>
  </conditionalFormatting>
  <conditionalFormatting sqref="I15:I31">
    <cfRule type="expression" dxfId="66" priority="50" stopIfTrue="1">
      <formula>($AC$8="Checker Off")</formula>
    </cfRule>
  </conditionalFormatting>
  <conditionalFormatting sqref="I15:I31">
    <cfRule type="cellIs" dxfId="65" priority="51" stopIfTrue="1" operator="notEqual">
      <formula>INDEX($1:$1048576,COLUMN()+5,ROW()-5)</formula>
    </cfRule>
  </conditionalFormatting>
  <conditionalFormatting sqref="I15:I31">
    <cfRule type="expression" dxfId="64" priority="49" stopIfTrue="1">
      <formula>OR($A15="P1",$A15="P2",$A15="P3",$A15="P4",$A15="P5",$A15="P6",$A15="P7",$A15="P8")</formula>
    </cfRule>
  </conditionalFormatting>
  <conditionalFormatting sqref="J16:J31">
    <cfRule type="expression" dxfId="63" priority="47" stopIfTrue="1">
      <formula>($AC$8="Checker Off")</formula>
    </cfRule>
  </conditionalFormatting>
  <conditionalFormatting sqref="J16:J31">
    <cfRule type="cellIs" dxfId="62" priority="48" stopIfTrue="1" operator="notEqual">
      <formula>INDEX($1:$1048576,COLUMN()+5,ROW()-5)</formula>
    </cfRule>
  </conditionalFormatting>
  <conditionalFormatting sqref="J16:J31">
    <cfRule type="expression" dxfId="61" priority="46" stopIfTrue="1">
      <formula>OR($A16="P1",$A16="P2",$A16="P3",$A16="P4",$A16="P5",$A16="P6",$A16="P7",$A16="P8")</formula>
    </cfRule>
  </conditionalFormatting>
  <conditionalFormatting sqref="K17:K31">
    <cfRule type="expression" dxfId="60" priority="44" stopIfTrue="1">
      <formula>($AC$8="Checker Off")</formula>
    </cfRule>
  </conditionalFormatting>
  <conditionalFormatting sqref="K17:K31">
    <cfRule type="cellIs" dxfId="59" priority="45" stopIfTrue="1" operator="notEqual">
      <formula>INDEX($1:$1048576,COLUMN()+5,ROW()-5)</formula>
    </cfRule>
  </conditionalFormatting>
  <conditionalFormatting sqref="K17:K31">
    <cfRule type="expression" dxfId="58" priority="43" stopIfTrue="1">
      <formula>OR($A17="P1",$A17="P2",$A17="P3",$A17="P4",$A17="P5",$A17="P6",$A17="P7",$A17="P8")</formula>
    </cfRule>
  </conditionalFormatting>
  <conditionalFormatting sqref="L18:L31">
    <cfRule type="expression" dxfId="57" priority="41" stopIfTrue="1">
      <formula>($AC$8="Checker Off")</formula>
    </cfRule>
  </conditionalFormatting>
  <conditionalFormatting sqref="L18:L31">
    <cfRule type="cellIs" dxfId="56" priority="42" stopIfTrue="1" operator="notEqual">
      <formula>INDEX($1:$1048576,COLUMN()+5,ROW()-5)</formula>
    </cfRule>
  </conditionalFormatting>
  <conditionalFormatting sqref="L18:L31">
    <cfRule type="expression" dxfId="55" priority="40" stopIfTrue="1">
      <formula>OR($A18="P1",$A18="P2",$A18="P3",$A18="P4",$A18="P5",$A18="P6",$A18="P7",$A18="P8")</formula>
    </cfRule>
  </conditionalFormatting>
  <conditionalFormatting sqref="M24:R31">
    <cfRule type="expression" dxfId="54" priority="38" stopIfTrue="1">
      <formula>($AC$8="Checker Off")</formula>
    </cfRule>
  </conditionalFormatting>
  <conditionalFormatting sqref="M24:R31">
    <cfRule type="cellIs" dxfId="53" priority="39" stopIfTrue="1" operator="notEqual">
      <formula>INDEX($1:$1048576,COLUMN()+5,ROW()-5)</formula>
    </cfRule>
  </conditionalFormatting>
  <conditionalFormatting sqref="M24:R31">
    <cfRule type="expression" dxfId="52" priority="37" stopIfTrue="1">
      <formula>OR($A24="P1",$A24="P2",$A24="P3",$A24="P4",$A24="P5",$A24="P6",$A24="P7",$A24="P8")</formula>
    </cfRule>
  </conditionalFormatting>
  <conditionalFormatting sqref="S28:V31">
    <cfRule type="expression" dxfId="51" priority="35" stopIfTrue="1">
      <formula>($AC$8="Checker Off")</formula>
    </cfRule>
  </conditionalFormatting>
  <conditionalFormatting sqref="S28:V31">
    <cfRule type="cellIs" dxfId="50" priority="36" stopIfTrue="1" operator="notEqual">
      <formula>INDEX($1:$1048576,COLUMN()+5,ROW()-5)</formula>
    </cfRule>
  </conditionalFormatting>
  <conditionalFormatting sqref="S28:V31">
    <cfRule type="expression" dxfId="49" priority="34" stopIfTrue="1">
      <formula>OR($A28="P1",$A28="P2",$A28="P3",$A28="P4",$A28="P5",$A28="P6",$A28="P7",$A28="P8")</formula>
    </cfRule>
  </conditionalFormatting>
  <conditionalFormatting sqref="W29:W31">
    <cfRule type="expression" dxfId="48" priority="32" stopIfTrue="1">
      <formula>($AC$8="Checker Off")</formula>
    </cfRule>
  </conditionalFormatting>
  <conditionalFormatting sqref="W29:W31">
    <cfRule type="cellIs" dxfId="47" priority="33" stopIfTrue="1" operator="notEqual">
      <formula>INDEX($1:$1048576,COLUMN()+5,ROW()-5)</formula>
    </cfRule>
  </conditionalFormatting>
  <conditionalFormatting sqref="W29:W31">
    <cfRule type="expression" dxfId="46" priority="31" stopIfTrue="1">
      <formula>OR($A29="P1",$A29="P2",$A29="P3",$A29="P4",$A29="P5",$A29="P6",$A29="P7",$A29="P8")</formula>
    </cfRule>
  </conditionalFormatting>
  <conditionalFormatting sqref="X30:X31">
    <cfRule type="expression" dxfId="45" priority="29" stopIfTrue="1">
      <formula>($AC$8="Checker Off")</formula>
    </cfRule>
  </conditionalFormatting>
  <conditionalFormatting sqref="X30:X31">
    <cfRule type="cellIs" dxfId="44" priority="30" stopIfTrue="1" operator="notEqual">
      <formula>INDEX($1:$1048576,COLUMN()+5,ROW()-5)</formula>
    </cfRule>
  </conditionalFormatting>
  <conditionalFormatting sqref="X30:X31">
    <cfRule type="expression" dxfId="43" priority="28" stopIfTrue="1">
      <formula>OR($A30="P1",$A30="P2",$A30="P3",$A30="P4",$A30="P5",$A30="P6",$A30="P7",$A30="P8")</formula>
    </cfRule>
  </conditionalFormatting>
  <conditionalFormatting sqref="Y31">
    <cfRule type="expression" dxfId="42" priority="26" stopIfTrue="1">
      <formula>($AC$8="Checker Off")</formula>
    </cfRule>
  </conditionalFormatting>
  <conditionalFormatting sqref="Y31">
    <cfRule type="cellIs" dxfId="41" priority="27" stopIfTrue="1" operator="notEqual">
      <formula>INDEX($1:$1048576,COLUMN()+5,ROW()-5)</formula>
    </cfRule>
  </conditionalFormatting>
  <conditionalFormatting sqref="Y31">
    <cfRule type="expression" dxfId="40" priority="25" stopIfTrue="1">
      <formula>OR($A31="P1",$A31="P2",$A31="P3",$A31="P4",$A31="P5",$A31="P6",$A31="P7",$A31="P8")</formula>
    </cfRule>
  </conditionalFormatting>
  <conditionalFormatting sqref="S27:U27">
    <cfRule type="expression" dxfId="39" priority="23" stopIfTrue="1">
      <formula>($AC$8="Checker Off")</formula>
    </cfRule>
  </conditionalFormatting>
  <conditionalFormatting sqref="S27:U27">
    <cfRule type="cellIs" dxfId="38" priority="24" stopIfTrue="1" operator="notEqual">
      <formula>INDEX($1:$1048576,COLUMN()+5,ROW()-5)</formula>
    </cfRule>
  </conditionalFormatting>
  <conditionalFormatting sqref="S27:U27">
    <cfRule type="expression" dxfId="37" priority="22" stopIfTrue="1">
      <formula>OR($A27="P1",$A27="P2",$A27="P3",$A27="P4",$A27="P5",$A27="P6",$A27="P7",$A27="P8")</formula>
    </cfRule>
  </conditionalFormatting>
  <conditionalFormatting sqref="S25:S26">
    <cfRule type="expression" dxfId="36" priority="20" stopIfTrue="1">
      <formula>($AC$8="Checker Off")</formula>
    </cfRule>
  </conditionalFormatting>
  <conditionalFormatting sqref="S25:S26">
    <cfRule type="cellIs" dxfId="35" priority="21" stopIfTrue="1" operator="notEqual">
      <formula>INDEX($1:$1048576,COLUMN()+5,ROW()-5)</formula>
    </cfRule>
  </conditionalFormatting>
  <conditionalFormatting sqref="S25:S26">
    <cfRule type="expression" dxfId="34" priority="19" stopIfTrue="1">
      <formula>OR($A25="P1",$A25="P2",$A25="P3",$A25="P4",$A25="P5",$A25="P6",$A25="P7",$A25="P8")</formula>
    </cfRule>
  </conditionalFormatting>
  <conditionalFormatting sqref="T26">
    <cfRule type="expression" dxfId="33" priority="17" stopIfTrue="1">
      <formula>($AC$8="Checker Off")</formula>
    </cfRule>
  </conditionalFormatting>
  <conditionalFormatting sqref="T26">
    <cfRule type="cellIs" dxfId="32" priority="18" stopIfTrue="1" operator="notEqual">
      <formula>INDEX($1:$1048576,COLUMN()+5,ROW()-5)</formula>
    </cfRule>
  </conditionalFormatting>
  <conditionalFormatting sqref="T26">
    <cfRule type="expression" dxfId="31" priority="16" stopIfTrue="1">
      <formula>OR($A26="P1",$A26="P2",$A26="P3",$A26="P4",$A26="P5",$A26="P6",$A26="P7",$A26="P8")</formula>
    </cfRule>
  </conditionalFormatting>
  <conditionalFormatting sqref="M21:O23">
    <cfRule type="expression" dxfId="30" priority="14" stopIfTrue="1">
      <formula>($AC$8="Checker Off")</formula>
    </cfRule>
  </conditionalFormatting>
  <conditionalFormatting sqref="M21:O23">
    <cfRule type="cellIs" dxfId="29" priority="15" stopIfTrue="1" operator="notEqual">
      <formula>INDEX($1:$1048576,COLUMN()+5,ROW()-5)</formula>
    </cfRule>
  </conditionalFormatting>
  <conditionalFormatting sqref="M21:O23">
    <cfRule type="expression" dxfId="28" priority="13" stopIfTrue="1">
      <formula>OR($A21="P1",$A21="P2",$A21="P3",$A21="P4",$A21="P5",$A21="P6",$A21="P7",$A21="P8")</formula>
    </cfRule>
  </conditionalFormatting>
  <conditionalFormatting sqref="P22:P23">
    <cfRule type="expression" dxfId="27" priority="11" stopIfTrue="1">
      <formula>($AC$8="Checker Off")</formula>
    </cfRule>
  </conditionalFormatting>
  <conditionalFormatting sqref="P22:P23">
    <cfRule type="cellIs" dxfId="26" priority="12" stopIfTrue="1" operator="notEqual">
      <formula>INDEX($1:$1048576,COLUMN()+5,ROW()-5)</formula>
    </cfRule>
  </conditionalFormatting>
  <conditionalFormatting sqref="P22:P23">
    <cfRule type="expression" dxfId="25" priority="10" stopIfTrue="1">
      <formula>OR($A22="P1",$A22="P2",$A22="P3",$A22="P4",$A22="P5",$A22="P6",$A22="P7",$A22="P8")</formula>
    </cfRule>
  </conditionalFormatting>
  <conditionalFormatting sqref="Q23">
    <cfRule type="expression" dxfId="24" priority="8" stopIfTrue="1">
      <formula>($AC$8="Checker Off")</formula>
    </cfRule>
  </conditionalFormatting>
  <conditionalFormatting sqref="Q23">
    <cfRule type="cellIs" dxfId="23" priority="9" stopIfTrue="1" operator="notEqual">
      <formula>INDEX($1:$1048576,COLUMN()+5,ROW()-5)</formula>
    </cfRule>
  </conditionalFormatting>
  <conditionalFormatting sqref="Q23">
    <cfRule type="expression" dxfId="22" priority="7" stopIfTrue="1">
      <formula>OR($A23="P1",$A23="P2",$A23="P3",$A23="P4",$A23="P5",$A23="P6",$A23="P7",$A23="P8")</formula>
    </cfRule>
  </conditionalFormatting>
  <conditionalFormatting sqref="M19:M20">
    <cfRule type="expression" dxfId="21" priority="5" stopIfTrue="1">
      <formula>($AC$8="Checker Off")</formula>
    </cfRule>
  </conditionalFormatting>
  <conditionalFormatting sqref="M19:M20">
    <cfRule type="cellIs" dxfId="20" priority="6" stopIfTrue="1" operator="notEqual">
      <formula>INDEX($1:$1048576,COLUMN()+5,ROW()-5)</formula>
    </cfRule>
  </conditionalFormatting>
  <conditionalFormatting sqref="M19:M20">
    <cfRule type="expression" dxfId="19" priority="4" stopIfTrue="1">
      <formula>OR($A19="P1",$A19="P2",$A19="P3",$A19="P4",$A19="P5",$A19="P6",$A19="P7",$A19="P8")</formula>
    </cfRule>
  </conditionalFormatting>
  <conditionalFormatting sqref="N20">
    <cfRule type="expression" dxfId="18" priority="2" stopIfTrue="1">
      <formula>($AC$8="Checker Off")</formula>
    </cfRule>
  </conditionalFormatting>
  <conditionalFormatting sqref="N20">
    <cfRule type="cellIs" dxfId="17" priority="3" stopIfTrue="1" operator="notEqual">
      <formula>INDEX($1:$1048576,COLUMN()+5,ROW()-5)</formula>
    </cfRule>
  </conditionalFormatting>
  <conditionalFormatting sqref="N20">
    <cfRule type="expression" dxfId="16" priority="1" stopIfTrue="1">
      <formula>OR($A20="P1",$A20="P2",$A20="P3",$A20="P4",$A20="P5",$A20="P6",$A20="P7",$A20="P8")</formula>
    </cfRule>
  </conditionalFormatting>
  <dataValidations count="1">
    <dataValidation type="list" allowBlank="1" showInputMessage="1" showErrorMessage="1" sqref="AC8" xr:uid="{00000000-0002-0000-0B00-000000000000}">
      <formula1>"Checker On,Checker Off"</formula1>
    </dataValidation>
  </dataValidations>
  <printOptions horizontalCentered="1"/>
  <pageMargins left="0.39370078740157483" right="0.39370078740157483" top="0.39370078740157483" bottom="0" header="0.39370078740157483" footer="0.39370078740157483"/>
  <pageSetup paperSize="9" orientation="portrait" r:id="rId1"/>
  <headerFooter alignWithMargins="0">
    <oddFooter>&amp;L&amp;A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pageSetUpPr fitToPage="1"/>
  </sheetPr>
  <dimension ref="A1:IV59"/>
  <sheetViews>
    <sheetView zoomScale="90" zoomScaleNormal="90" workbookViewId="0">
      <selection activeCell="F11" sqref="F11"/>
    </sheetView>
  </sheetViews>
  <sheetFormatPr defaultRowHeight="12.75" x14ac:dyDescent="0.2"/>
  <cols>
    <col min="1" max="1" width="8.5703125" style="22" customWidth="1"/>
    <col min="2" max="2" width="7.85546875" style="22" customWidth="1"/>
    <col min="3" max="3" width="6.5703125" style="22" customWidth="1"/>
    <col min="4" max="4" width="6" style="22" customWidth="1"/>
    <col min="5" max="5" width="4.7109375" style="22" customWidth="1"/>
    <col min="6" max="6" width="8.85546875" style="22" customWidth="1"/>
    <col min="7" max="8" width="7.7109375" style="22" customWidth="1"/>
    <col min="9" max="9" width="8" style="22" customWidth="1"/>
    <col min="10" max="10" width="9" style="22" customWidth="1"/>
    <col min="11" max="11" width="10.5703125" style="22" customWidth="1"/>
    <col min="12" max="12" width="11.42578125" style="22" customWidth="1"/>
    <col min="13" max="13" width="11" style="22" bestFit="1" customWidth="1"/>
    <col min="14" max="14" width="10.28515625" style="22" customWidth="1"/>
    <col min="15" max="15" width="10" style="22" customWidth="1"/>
    <col min="16" max="16" width="10.42578125" style="22" customWidth="1"/>
    <col min="17" max="16384" width="9.140625" style="22"/>
  </cols>
  <sheetData>
    <row r="1" spans="1:256" ht="15" x14ac:dyDescent="0.25">
      <c r="A1" s="240" t="s">
        <v>2</v>
      </c>
      <c r="B1" s="244"/>
      <c r="C1" s="244"/>
      <c r="D1" s="618" t="str">
        <f>'1 - Cover'!C4</f>
        <v>Naylor / Galloway</v>
      </c>
      <c r="E1" s="618"/>
      <c r="F1" s="618"/>
      <c r="G1" s="618"/>
      <c r="H1" s="618"/>
      <c r="I1" s="618"/>
      <c r="J1" s="237"/>
      <c r="K1" s="237"/>
      <c r="L1" s="237"/>
      <c r="M1" s="256" t="s">
        <v>4</v>
      </c>
      <c r="N1" s="515">
        <f>'1 - Cover'!H4</f>
        <v>36</v>
      </c>
      <c r="O1" s="515"/>
      <c r="P1" s="531"/>
    </row>
    <row r="2" spans="1:256" ht="15.75" thickBot="1" x14ac:dyDescent="0.3">
      <c r="A2" s="234" t="s">
        <v>5</v>
      </c>
      <c r="B2" s="916">
        <f>'1 - Cover'!B5</f>
        <v>43546</v>
      </c>
      <c r="C2" s="916"/>
      <c r="D2" s="916"/>
      <c r="E2" s="264"/>
      <c r="F2" s="264"/>
      <c r="G2" s="668" t="s">
        <v>6</v>
      </c>
      <c r="H2" s="668"/>
      <c r="I2" s="238" t="str">
        <f>'1 - Cover'!E5</f>
        <v>3d</v>
      </c>
      <c r="J2" s="239"/>
      <c r="K2" s="239"/>
      <c r="L2" s="239"/>
      <c r="M2" s="236" t="s">
        <v>8</v>
      </c>
      <c r="N2" s="806" t="str">
        <f>'1 - Cover'!H5</f>
        <v>R Thomson</v>
      </c>
      <c r="O2" s="806"/>
      <c r="P2" s="993"/>
    </row>
    <row r="3" spans="1:256" s="33" customFormat="1" ht="15" x14ac:dyDescent="0.25">
      <c r="A3" s="161"/>
      <c r="B3" s="162"/>
      <c r="C3" s="162"/>
      <c r="D3" s="162"/>
      <c r="E3" s="163"/>
      <c r="F3" s="163"/>
      <c r="G3" s="164"/>
      <c r="H3" s="164"/>
      <c r="I3" s="148"/>
      <c r="J3" s="135"/>
      <c r="K3" s="135"/>
      <c r="L3" s="135"/>
      <c r="M3" s="165"/>
      <c r="N3" s="166"/>
      <c r="O3" s="166"/>
      <c r="P3" s="166"/>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row>
    <row r="4" spans="1:256" ht="18" x14ac:dyDescent="0.25">
      <c r="A4" s="1001" t="s">
        <v>373</v>
      </c>
      <c r="B4" s="1001"/>
      <c r="C4" s="1001"/>
      <c r="D4" s="1001"/>
      <c r="E4" s="1001"/>
      <c r="F4" s="1001"/>
      <c r="G4" s="1001"/>
      <c r="H4" s="1001"/>
      <c r="I4" s="1001"/>
      <c r="J4" s="1001"/>
      <c r="K4" s="1001"/>
      <c r="L4" s="1001"/>
      <c r="M4" s="1001"/>
      <c r="N4" s="1001"/>
      <c r="O4" s="1001"/>
      <c r="P4" s="1001"/>
    </row>
    <row r="5" spans="1:256" ht="7.5" customHeight="1" x14ac:dyDescent="0.25">
      <c r="A5" s="167"/>
      <c r="B5" s="461"/>
      <c r="C5" s="461"/>
      <c r="D5" s="461"/>
      <c r="E5" s="461"/>
      <c r="F5" s="461"/>
      <c r="G5" s="461"/>
      <c r="H5" s="31"/>
      <c r="I5" s="168"/>
      <c r="J5" s="461"/>
      <c r="K5" s="461"/>
      <c r="L5" s="461"/>
      <c r="M5" s="461"/>
      <c r="N5" s="461"/>
      <c r="O5" s="461"/>
      <c r="P5" s="461"/>
      <c r="R5" s="48"/>
    </row>
    <row r="6" spans="1:256" ht="16.5" thickBot="1" x14ac:dyDescent="0.3">
      <c r="A6" s="169"/>
      <c r="B6" s="169"/>
      <c r="C6" s="169"/>
      <c r="D6" s="169"/>
      <c r="E6" s="169"/>
      <c r="F6" s="1002" t="s">
        <v>374</v>
      </c>
      <c r="G6" s="1002"/>
      <c r="H6" s="1002"/>
      <c r="I6" s="1002"/>
      <c r="J6" s="1002"/>
      <c r="K6" s="1002"/>
      <c r="L6" s="1002"/>
      <c r="M6" s="1002"/>
      <c r="N6" s="169"/>
      <c r="O6" s="169"/>
      <c r="P6" s="169"/>
      <c r="R6" s="48"/>
      <c r="S6" s="22" t="s">
        <v>74</v>
      </c>
    </row>
    <row r="7" spans="1:256" ht="39.75" thickTop="1" thickBot="1" x14ac:dyDescent="0.25">
      <c r="A7" s="169"/>
      <c r="B7" s="169"/>
      <c r="C7" s="169"/>
      <c r="D7" s="169"/>
      <c r="E7" s="462" t="s">
        <v>238</v>
      </c>
      <c r="F7" s="463" t="s">
        <v>375</v>
      </c>
      <c r="G7" s="463" t="s">
        <v>376</v>
      </c>
      <c r="H7" s="292" t="s">
        <v>377</v>
      </c>
      <c r="I7" s="463" t="s">
        <v>378</v>
      </c>
      <c r="J7" s="463" t="s">
        <v>379</v>
      </c>
      <c r="K7" s="463" t="s">
        <v>380</v>
      </c>
      <c r="L7" s="464" t="s">
        <v>381</v>
      </c>
      <c r="M7" s="169"/>
      <c r="N7" s="169"/>
      <c r="O7" s="169"/>
      <c r="P7" s="169"/>
      <c r="R7" s="465"/>
      <c r="S7" s="22" t="s">
        <v>75</v>
      </c>
    </row>
    <row r="8" spans="1:256" ht="13.5" thickTop="1" x14ac:dyDescent="0.2">
      <c r="A8" s="169"/>
      <c r="B8" s="169"/>
      <c r="C8" s="169"/>
      <c r="D8" s="169"/>
      <c r="E8" s="466">
        <f>IF('7 - Peds'!B10="","",VALUE(RIGHT('7 - Peds'!B10,1)))</f>
        <v>1</v>
      </c>
      <c r="F8" s="324">
        <v>16</v>
      </c>
      <c r="G8" s="324" t="s">
        <v>50</v>
      </c>
      <c r="H8" s="132" t="s">
        <v>45</v>
      </c>
      <c r="I8" s="324">
        <v>1.2</v>
      </c>
      <c r="J8" s="467">
        <f>IF(ISNUMBER(E8),6,"")</f>
        <v>6</v>
      </c>
      <c r="K8" s="95">
        <f>IF(ISNUMBER(E8),(F8/I8-L8),"")</f>
        <v>9.3333333333333339</v>
      </c>
      <c r="L8" s="363">
        <f>IF(ISNUMBER(E8),VLOOKUP(G8,A$19:O$25,15,)-2,"")</f>
        <v>4</v>
      </c>
      <c r="M8" s="1051"/>
      <c r="N8" s="1052"/>
      <c r="O8" s="1053"/>
      <c r="P8" s="169"/>
    </row>
    <row r="9" spans="1:256" ht="13.5" thickBot="1" x14ac:dyDescent="0.25">
      <c r="A9" s="169"/>
      <c r="B9" s="169"/>
      <c r="C9" s="169"/>
      <c r="D9" s="169"/>
      <c r="E9" s="468">
        <f>IF('7 - Peds'!B11="","",VALUE(RIGHT('7 - Peds'!B11,1)))</f>
        <v>2</v>
      </c>
      <c r="F9" s="325">
        <v>20</v>
      </c>
      <c r="G9" s="325" t="s">
        <v>50</v>
      </c>
      <c r="H9" s="133"/>
      <c r="I9" s="324">
        <v>1.2</v>
      </c>
      <c r="J9" s="467">
        <f t="shared" ref="J9:J15" si="0">IF(ISNUMBER(E9),6,"")</f>
        <v>6</v>
      </c>
      <c r="K9" s="95">
        <f t="shared" ref="K9:K15" si="1">IF(ISNUMBER(E9),(F9/I9-L9),"")</f>
        <v>12.666666666666668</v>
      </c>
      <c r="L9" s="363">
        <f t="shared" ref="L9:L15" si="2">IF(ISNUMBER(E9),VLOOKUP(G9,A$19:O$25,15,)-2,"")</f>
        <v>4</v>
      </c>
      <c r="M9" s="1054"/>
      <c r="N9" s="1055"/>
      <c r="O9" s="1056"/>
      <c r="P9" s="169"/>
      <c r="T9" s="22" t="s">
        <v>382</v>
      </c>
      <c r="V9" s="22" t="s">
        <v>383</v>
      </c>
    </row>
    <row r="10" spans="1:256" ht="14.25" thickTop="1" thickBot="1" x14ac:dyDescent="0.25">
      <c r="A10" s="169"/>
      <c r="B10" s="169"/>
      <c r="C10" s="169"/>
      <c r="D10" s="169"/>
      <c r="E10" s="468">
        <f>IF('7 - Peds'!B12="","",VALUE(RIGHT('7 - Peds'!B12,1)))</f>
        <v>3</v>
      </c>
      <c r="F10" s="325">
        <v>15</v>
      </c>
      <c r="G10" s="325" t="s">
        <v>44</v>
      </c>
      <c r="H10" s="133"/>
      <c r="I10" s="324">
        <v>1.2</v>
      </c>
      <c r="J10" s="467">
        <f t="shared" si="0"/>
        <v>6</v>
      </c>
      <c r="K10" s="95">
        <f t="shared" si="1"/>
        <v>9</v>
      </c>
      <c r="L10" s="96">
        <f t="shared" si="2"/>
        <v>3.5</v>
      </c>
      <c r="M10" s="169"/>
      <c r="N10" s="169"/>
      <c r="O10" s="169"/>
      <c r="P10" s="169"/>
      <c r="U10" s="44" t="s">
        <v>384</v>
      </c>
      <c r="V10" s="45" t="s">
        <v>385</v>
      </c>
      <c r="W10" s="22" t="s">
        <v>386</v>
      </c>
    </row>
    <row r="11" spans="1:256" ht="13.5" thickTop="1" x14ac:dyDescent="0.2">
      <c r="A11" s="169"/>
      <c r="B11" s="169"/>
      <c r="C11" s="169"/>
      <c r="D11" s="169"/>
      <c r="E11" s="468">
        <f>IF('7 - Peds'!B13="","",VALUE(RIGHT('7 - Peds'!B13,1)))</f>
        <v>4</v>
      </c>
      <c r="F11" s="325">
        <v>17</v>
      </c>
      <c r="G11" s="325" t="s">
        <v>44</v>
      </c>
      <c r="H11" s="133" t="s">
        <v>46</v>
      </c>
      <c r="I11" s="324">
        <v>1.2</v>
      </c>
      <c r="J11" s="467">
        <f t="shared" si="0"/>
        <v>6</v>
      </c>
      <c r="K11" s="95">
        <f t="shared" si="1"/>
        <v>10.666666666666668</v>
      </c>
      <c r="L11" s="96">
        <f t="shared" si="2"/>
        <v>3.5</v>
      </c>
      <c r="M11" s="169"/>
      <c r="N11" s="169"/>
      <c r="O11" s="169"/>
      <c r="P11" s="169"/>
      <c r="U11" s="469">
        <v>2</v>
      </c>
      <c r="V11" s="470">
        <v>0.7</v>
      </c>
      <c r="W11" s="22" t="s">
        <v>387</v>
      </c>
    </row>
    <row r="12" spans="1:256" x14ac:dyDescent="0.2">
      <c r="A12" s="169"/>
      <c r="B12" s="169"/>
      <c r="C12" s="169"/>
      <c r="D12" s="169"/>
      <c r="E12" s="468" t="str">
        <f>IF('7 - Peds'!B14="","",VALUE(RIGHT('7 - Peds'!B14,1)))</f>
        <v/>
      </c>
      <c r="F12" s="325"/>
      <c r="G12" s="325"/>
      <c r="H12" s="133"/>
      <c r="I12" s="324"/>
      <c r="J12" s="467" t="str">
        <f t="shared" si="0"/>
        <v/>
      </c>
      <c r="K12" s="95" t="str">
        <f t="shared" si="1"/>
        <v/>
      </c>
      <c r="L12" s="96" t="str">
        <f t="shared" si="2"/>
        <v/>
      </c>
      <c r="M12" s="169"/>
      <c r="N12" s="169"/>
      <c r="O12" s="169"/>
      <c r="P12" s="169"/>
      <c r="U12" s="469">
        <v>3</v>
      </c>
      <c r="V12" s="470">
        <v>0.9</v>
      </c>
      <c r="W12" s="22" t="s">
        <v>388</v>
      </c>
    </row>
    <row r="13" spans="1:256" x14ac:dyDescent="0.2">
      <c r="A13" s="169"/>
      <c r="B13" s="169"/>
      <c r="C13" s="169"/>
      <c r="D13" s="169"/>
      <c r="E13" s="468" t="str">
        <f>IF('7 - Peds'!B15="","",VALUE(RIGHT('7 - Peds'!B15,1)))</f>
        <v/>
      </c>
      <c r="F13" s="325"/>
      <c r="G13" s="325"/>
      <c r="H13" s="133"/>
      <c r="I13" s="324"/>
      <c r="J13" s="467" t="str">
        <f t="shared" si="0"/>
        <v/>
      </c>
      <c r="K13" s="95" t="str">
        <f t="shared" si="1"/>
        <v/>
      </c>
      <c r="L13" s="96" t="str">
        <f t="shared" si="2"/>
        <v/>
      </c>
      <c r="M13" s="169"/>
      <c r="N13" s="169"/>
      <c r="O13" s="169"/>
      <c r="P13" s="169"/>
      <c r="U13" s="469">
        <v>4</v>
      </c>
      <c r="V13" s="470">
        <v>1</v>
      </c>
      <c r="W13" s="22" t="s">
        <v>389</v>
      </c>
    </row>
    <row r="14" spans="1:256" x14ac:dyDescent="0.2">
      <c r="A14" s="169"/>
      <c r="B14" s="169"/>
      <c r="C14" s="169"/>
      <c r="D14" s="169"/>
      <c r="E14" s="468" t="str">
        <f>IF('7 - Peds'!B16="","",VALUE(RIGHT('7 - Peds'!B16,1)))</f>
        <v/>
      </c>
      <c r="F14" s="325"/>
      <c r="G14" s="325"/>
      <c r="H14" s="133"/>
      <c r="I14" s="324"/>
      <c r="J14" s="467" t="str">
        <f t="shared" si="0"/>
        <v/>
      </c>
      <c r="K14" s="95" t="str">
        <f t="shared" si="1"/>
        <v/>
      </c>
      <c r="L14" s="96" t="str">
        <f t="shared" si="2"/>
        <v/>
      </c>
      <c r="M14" s="169"/>
      <c r="N14" s="169"/>
      <c r="O14" s="169"/>
      <c r="P14" s="169"/>
      <c r="U14" s="469">
        <v>5</v>
      </c>
      <c r="V14" s="470">
        <v>1.2</v>
      </c>
      <c r="W14" s="22" t="s">
        <v>390</v>
      </c>
    </row>
    <row r="15" spans="1:256" ht="13.5" thickBot="1" x14ac:dyDescent="0.25">
      <c r="A15" s="169"/>
      <c r="B15" s="169"/>
      <c r="C15" s="169"/>
      <c r="D15" s="169"/>
      <c r="E15" s="471" t="str">
        <f>IF('7 - Peds'!B17="","",VALUE(RIGHT('7 - Peds'!B17,1)))</f>
        <v/>
      </c>
      <c r="F15" s="472"/>
      <c r="G15" s="472"/>
      <c r="H15" s="134"/>
      <c r="I15" s="324"/>
      <c r="J15" s="473" t="str">
        <f t="shared" si="0"/>
        <v/>
      </c>
      <c r="K15" s="97" t="str">
        <f t="shared" si="1"/>
        <v/>
      </c>
      <c r="L15" s="98" t="str">
        <f t="shared" si="2"/>
        <v/>
      </c>
      <c r="M15" s="169"/>
      <c r="N15" s="169"/>
      <c r="O15" s="169"/>
      <c r="P15" s="169"/>
      <c r="U15" s="469">
        <v>6</v>
      </c>
      <c r="V15" s="470">
        <v>1.3</v>
      </c>
      <c r="W15" s="22" t="s">
        <v>391</v>
      </c>
    </row>
    <row r="16" spans="1:256" ht="15" customHeight="1" thickTop="1" x14ac:dyDescent="0.2">
      <c r="A16" s="169"/>
      <c r="B16" s="169"/>
      <c r="C16" s="169"/>
      <c r="D16" s="169"/>
      <c r="E16" s="169"/>
      <c r="F16" s="169"/>
      <c r="G16" s="169"/>
      <c r="H16" s="169"/>
      <c r="I16" s="461"/>
      <c r="J16" s="461"/>
      <c r="K16" s="461"/>
      <c r="L16" s="461"/>
      <c r="M16" s="461"/>
      <c r="N16" s="461"/>
      <c r="O16" s="461"/>
      <c r="P16" s="461"/>
      <c r="U16" s="469">
        <v>7</v>
      </c>
      <c r="V16" s="470">
        <v>1.4</v>
      </c>
      <c r="W16" s="22" t="s">
        <v>392</v>
      </c>
    </row>
    <row r="17" spans="1:29" ht="16.5" thickBot="1" x14ac:dyDescent="0.3">
      <c r="A17" s="169"/>
      <c r="B17" s="169"/>
      <c r="C17" s="1002" t="s">
        <v>393</v>
      </c>
      <c r="D17" s="1002"/>
      <c r="E17" s="1002"/>
      <c r="F17" s="1002"/>
      <c r="G17" s="1002"/>
      <c r="H17" s="1002"/>
      <c r="I17" s="1002"/>
      <c r="J17" s="1002"/>
      <c r="K17" s="1002"/>
      <c r="L17" s="1002"/>
      <c r="M17" s="1002"/>
      <c r="N17" s="169"/>
      <c r="O17" s="169"/>
      <c r="P17" s="169"/>
      <c r="U17" s="469">
        <v>8</v>
      </c>
      <c r="V17" s="470">
        <v>1.5</v>
      </c>
      <c r="W17" s="22" t="s">
        <v>394</v>
      </c>
    </row>
    <row r="18" spans="1:29" s="94" customFormat="1" ht="27" thickTop="1" thickBot="1" x14ac:dyDescent="0.25">
      <c r="A18" s="293" t="s">
        <v>82</v>
      </c>
      <c r="B18" s="1003" t="s">
        <v>395</v>
      </c>
      <c r="C18" s="1003"/>
      <c r="D18" s="1004"/>
      <c r="E18" s="1005" t="s">
        <v>396</v>
      </c>
      <c r="F18" s="1004"/>
      <c r="G18" s="1005" t="s">
        <v>397</v>
      </c>
      <c r="H18" s="1003"/>
      <c r="I18" s="1004"/>
      <c r="J18" s="991" t="s">
        <v>398</v>
      </c>
      <c r="K18" s="991"/>
      <c r="L18" s="992"/>
      <c r="M18" s="170"/>
      <c r="N18" s="474" t="s">
        <v>399</v>
      </c>
      <c r="O18" s="474" t="s">
        <v>400</v>
      </c>
      <c r="P18" s="170"/>
      <c r="U18" s="475">
        <v>10</v>
      </c>
      <c r="V18" s="476">
        <v>1.6</v>
      </c>
      <c r="W18" s="131" t="s">
        <v>401</v>
      </c>
    </row>
    <row r="19" spans="1:29" ht="13.5" thickTop="1" x14ac:dyDescent="0.2">
      <c r="A19" s="294" t="str">
        <f>IF('4 - Phase Control'!A8="","",LEFT('4 - Phase Control'!A8,1))</f>
        <v>A</v>
      </c>
      <c r="B19" s="994" t="str">
        <f>IF(A19="","","RED"&amp;A19&amp;" =")</f>
        <v>REDA =</v>
      </c>
      <c r="C19" s="995"/>
      <c r="D19" s="326">
        <v>1.5</v>
      </c>
      <c r="E19" s="996">
        <v>50</v>
      </c>
      <c r="F19" s="997"/>
      <c r="G19" s="998" t="str">
        <f>IF(A19="","","SRED"&amp;A19&amp;" =")</f>
        <v>SREDA =</v>
      </c>
      <c r="H19" s="995"/>
      <c r="I19" s="326"/>
      <c r="J19" s="999"/>
      <c r="K19" s="999"/>
      <c r="L19" s="1000"/>
      <c r="M19" s="169"/>
      <c r="N19" s="99">
        <f>IF(A19="","",CEILING(IF(E19=50,3.8,IF(E19=60,4.3,IF(E19=65,4.5,IF(E19=70,4.8,IF(E19=75,5,IF(E19=80,5.2,4)))))),0.5))</f>
        <v>4</v>
      </c>
      <c r="O19" s="100">
        <f>IF(A19="","",D19+N19)</f>
        <v>5.5</v>
      </c>
      <c r="P19" s="169"/>
      <c r="U19" s="469">
        <v>11</v>
      </c>
      <c r="V19" s="470">
        <v>1.7</v>
      </c>
      <c r="W19" s="22" t="s">
        <v>402</v>
      </c>
    </row>
    <row r="20" spans="1:29" x14ac:dyDescent="0.2">
      <c r="A20" s="295" t="str">
        <f>IF('4 - Phase Control'!A9="","",LEFT('4 - Phase Control'!A9,1))</f>
        <v>B</v>
      </c>
      <c r="B20" s="1006" t="str">
        <f t="shared" ref="B20:B25" si="3">IF(A20="","","RED"&amp;A20&amp;" =")</f>
        <v>REDB =</v>
      </c>
      <c r="C20" s="1007"/>
      <c r="D20" s="326">
        <v>2</v>
      </c>
      <c r="E20" s="996">
        <v>50</v>
      </c>
      <c r="F20" s="997"/>
      <c r="G20" s="1006" t="str">
        <f t="shared" ref="G20:G25" si="4">IF(A20="","","SRED"&amp;A20&amp;" =")</f>
        <v>SREDB =</v>
      </c>
      <c r="H20" s="1007"/>
      <c r="I20" s="326"/>
      <c r="J20" s="999"/>
      <c r="K20" s="999"/>
      <c r="L20" s="1000"/>
      <c r="M20" s="169"/>
      <c r="N20" s="101">
        <f t="shared" ref="N20:N25" si="5">IF(A20="","",CEILING(IF(E20=50,3.8,IF(E20=60,4.3,IF(E20=65,4.5,IF(E20=70,4.8,IF(E20=75,5,IF(E20=80,5.2,4)))))),0.5))</f>
        <v>4</v>
      </c>
      <c r="O20" s="100">
        <f t="shared" ref="O20:O25" si="6">IF(A20="","",D20+N20)</f>
        <v>6</v>
      </c>
      <c r="P20" s="169"/>
      <c r="U20" s="469">
        <v>12</v>
      </c>
      <c r="V20" s="470">
        <v>1.8</v>
      </c>
      <c r="W20" s="22" t="s">
        <v>403</v>
      </c>
    </row>
    <row r="21" spans="1:29" x14ac:dyDescent="0.2">
      <c r="A21" s="295" t="str">
        <f>IF('4 - Phase Control'!A10="","",LEFT('4 - Phase Control'!A10,1))</f>
        <v>C</v>
      </c>
      <c r="B21" s="1006" t="str">
        <f t="shared" si="3"/>
        <v>REDC =</v>
      </c>
      <c r="C21" s="1007"/>
      <c r="D21" s="326">
        <v>2</v>
      </c>
      <c r="E21" s="996">
        <v>50</v>
      </c>
      <c r="F21" s="997"/>
      <c r="G21" s="1006" t="str">
        <f t="shared" si="4"/>
        <v>SREDC =</v>
      </c>
      <c r="H21" s="1007"/>
      <c r="I21" s="326"/>
      <c r="J21" s="999"/>
      <c r="K21" s="999"/>
      <c r="L21" s="1000"/>
      <c r="M21" s="169"/>
      <c r="N21" s="101">
        <f t="shared" si="5"/>
        <v>4</v>
      </c>
      <c r="O21" s="100">
        <f t="shared" si="6"/>
        <v>6</v>
      </c>
      <c r="P21" s="169"/>
      <c r="U21" s="469">
        <v>13</v>
      </c>
      <c r="V21" s="470">
        <v>1.9</v>
      </c>
      <c r="W21" s="22" t="s">
        <v>404</v>
      </c>
    </row>
    <row r="22" spans="1:29" x14ac:dyDescent="0.2">
      <c r="A22" s="468" t="str">
        <f>IF('4 - Phase Control'!A11="","",LEFT('4 - Phase Control'!A11,1))</f>
        <v>D</v>
      </c>
      <c r="B22" s="1006" t="str">
        <f t="shared" si="3"/>
        <v>REDD =</v>
      </c>
      <c r="C22" s="1007"/>
      <c r="D22" s="326">
        <v>1.5</v>
      </c>
      <c r="E22" s="996">
        <v>50</v>
      </c>
      <c r="F22" s="997"/>
      <c r="G22" s="1006" t="str">
        <f t="shared" si="4"/>
        <v>SREDD =</v>
      </c>
      <c r="H22" s="1007"/>
      <c r="I22" s="326"/>
      <c r="J22" s="999"/>
      <c r="K22" s="999"/>
      <c r="L22" s="1000"/>
      <c r="M22" s="169"/>
      <c r="N22" s="101">
        <f t="shared" si="5"/>
        <v>4</v>
      </c>
      <c r="O22" s="100">
        <f t="shared" si="6"/>
        <v>5.5</v>
      </c>
      <c r="P22" s="169"/>
      <c r="U22" s="469">
        <v>14</v>
      </c>
      <c r="V22" s="470">
        <v>2</v>
      </c>
      <c r="W22" s="22" t="s">
        <v>405</v>
      </c>
    </row>
    <row r="23" spans="1:29" ht="13.5" thickBot="1" x14ac:dyDescent="0.25">
      <c r="A23" s="468" t="str">
        <f>IF('4 - Phase Control'!A12="","",LEFT('4 - Phase Control'!A12,1))</f>
        <v>E</v>
      </c>
      <c r="B23" s="1006" t="str">
        <f t="shared" si="3"/>
        <v>REDE =</v>
      </c>
      <c r="C23" s="1007"/>
      <c r="D23" s="326"/>
      <c r="E23" s="996"/>
      <c r="F23" s="997"/>
      <c r="G23" s="1006" t="str">
        <f t="shared" si="4"/>
        <v>SREDE =</v>
      </c>
      <c r="H23" s="1007"/>
      <c r="I23" s="326"/>
      <c r="J23" s="999"/>
      <c r="K23" s="999"/>
      <c r="L23" s="1000"/>
      <c r="M23" s="169"/>
      <c r="N23" s="101">
        <f t="shared" si="5"/>
        <v>4</v>
      </c>
      <c r="O23" s="100">
        <f t="shared" si="6"/>
        <v>4</v>
      </c>
      <c r="P23" s="169"/>
      <c r="U23" s="477">
        <v>15</v>
      </c>
      <c r="V23" s="478">
        <v>2</v>
      </c>
      <c r="W23" s="22" t="s">
        <v>406</v>
      </c>
    </row>
    <row r="24" spans="1:29" ht="14.25" thickTop="1" thickBot="1" x14ac:dyDescent="0.25">
      <c r="A24" s="468" t="str">
        <f>IF('4 - Phase Control'!A13="","",LEFT('4 - Phase Control'!A13,1))</f>
        <v>F</v>
      </c>
      <c r="B24" s="1006" t="str">
        <f t="shared" si="3"/>
        <v>REDF =</v>
      </c>
      <c r="C24" s="1007"/>
      <c r="D24" s="326"/>
      <c r="E24" s="996"/>
      <c r="F24" s="997"/>
      <c r="G24" s="1006" t="str">
        <f t="shared" si="4"/>
        <v>SREDF =</v>
      </c>
      <c r="H24" s="1007"/>
      <c r="I24" s="326"/>
      <c r="J24" s="999"/>
      <c r="K24" s="999"/>
      <c r="L24" s="1000"/>
      <c r="M24" s="169"/>
      <c r="N24" s="101">
        <f t="shared" si="5"/>
        <v>4</v>
      </c>
      <c r="O24" s="100">
        <f t="shared" si="6"/>
        <v>4</v>
      </c>
      <c r="P24" s="169"/>
    </row>
    <row r="25" spans="1:29" ht="14.25" thickTop="1" thickBot="1" x14ac:dyDescent="0.25">
      <c r="A25" s="471" t="str">
        <f>IF('4 - Phase Control'!A14="","",LEFT('4 - Phase Control'!A14,1))</f>
        <v>G</v>
      </c>
      <c r="B25" s="1008" t="str">
        <f t="shared" si="3"/>
        <v>REDG =</v>
      </c>
      <c r="C25" s="1009"/>
      <c r="D25" s="479"/>
      <c r="E25" s="1010"/>
      <c r="F25" s="1011"/>
      <c r="G25" s="1008" t="str">
        <f t="shared" si="4"/>
        <v>SREDG =</v>
      </c>
      <c r="H25" s="1009"/>
      <c r="I25" s="479"/>
      <c r="J25" s="1012"/>
      <c r="K25" s="1012"/>
      <c r="L25" s="1013"/>
      <c r="M25" s="169"/>
      <c r="N25" s="102">
        <f t="shared" si="5"/>
        <v>4</v>
      </c>
      <c r="O25" s="103">
        <f t="shared" si="6"/>
        <v>4</v>
      </c>
      <c r="P25" s="169"/>
      <c r="U25" s="480" t="s">
        <v>407</v>
      </c>
      <c r="V25" s="481">
        <v>25</v>
      </c>
      <c r="W25" s="481">
        <v>30</v>
      </c>
      <c r="X25" s="481">
        <v>35</v>
      </c>
      <c r="Y25" s="481">
        <v>40</v>
      </c>
      <c r="Z25" s="481">
        <v>45</v>
      </c>
      <c r="AA25" s="481">
        <v>50</v>
      </c>
      <c r="AB25" s="481">
        <v>55</v>
      </c>
      <c r="AC25" s="482">
        <v>60</v>
      </c>
    </row>
    <row r="26" spans="1:29" ht="6" customHeight="1" thickTop="1" x14ac:dyDescent="0.2">
      <c r="A26" s="483"/>
      <c r="B26" s="483"/>
      <c r="C26" s="483"/>
      <c r="D26" s="484"/>
      <c r="E26" s="483"/>
      <c r="F26" s="483"/>
      <c r="G26" s="483"/>
      <c r="H26" s="483"/>
      <c r="I26" s="484"/>
      <c r="J26" s="483"/>
      <c r="K26" s="483"/>
      <c r="L26" s="483"/>
      <c r="M26" s="169"/>
      <c r="N26" s="171"/>
      <c r="O26" s="172"/>
      <c r="P26" s="169"/>
      <c r="U26" s="485"/>
      <c r="V26" s="486"/>
      <c r="W26" s="486"/>
      <c r="X26" s="486"/>
      <c r="Y26" s="486"/>
      <c r="Z26" s="486"/>
      <c r="AA26" s="486"/>
      <c r="AB26" s="486"/>
      <c r="AC26" s="487"/>
    </row>
    <row r="27" spans="1:29" ht="13.5" thickBot="1" x14ac:dyDescent="0.25">
      <c r="A27" s="488" t="s">
        <v>408</v>
      </c>
      <c r="B27" s="489" t="s">
        <v>409</v>
      </c>
      <c r="C27" s="489"/>
      <c r="D27" s="489" t="s">
        <v>410</v>
      </c>
      <c r="E27" s="173"/>
      <c r="F27" s="173"/>
      <c r="G27" s="489"/>
      <c r="H27" s="489"/>
      <c r="I27" s="489"/>
      <c r="J27" s="489"/>
      <c r="K27" s="489"/>
      <c r="L27" s="489"/>
      <c r="M27" s="461"/>
      <c r="N27" s="461"/>
      <c r="O27" s="135"/>
      <c r="P27" s="461"/>
      <c r="U27" s="490" t="s">
        <v>411</v>
      </c>
      <c r="V27" s="491">
        <f t="shared" ref="V27:AC27" si="7">V25/3.6</f>
        <v>6.9444444444444446</v>
      </c>
      <c r="W27" s="491">
        <f t="shared" si="7"/>
        <v>8.3333333333333339</v>
      </c>
      <c r="X27" s="491">
        <f t="shared" si="7"/>
        <v>9.7222222222222214</v>
      </c>
      <c r="Y27" s="491">
        <f t="shared" si="7"/>
        <v>11.111111111111111</v>
      </c>
      <c r="Z27" s="491">
        <f t="shared" si="7"/>
        <v>12.5</v>
      </c>
      <c r="AA27" s="491">
        <f t="shared" si="7"/>
        <v>13.888888888888889</v>
      </c>
      <c r="AB27" s="491">
        <f t="shared" si="7"/>
        <v>15.277777777777777</v>
      </c>
      <c r="AC27" s="492">
        <f t="shared" si="7"/>
        <v>16.666666666666668</v>
      </c>
    </row>
    <row r="28" spans="1:29" ht="13.5" thickTop="1" x14ac:dyDescent="0.2">
      <c r="A28" s="489" t="s">
        <v>412</v>
      </c>
      <c r="B28" s="489" t="s">
        <v>413</v>
      </c>
      <c r="C28" s="489"/>
      <c r="D28" s="489" t="s">
        <v>414</v>
      </c>
      <c r="E28" s="173"/>
      <c r="F28" s="173"/>
      <c r="G28" s="489"/>
      <c r="H28" s="489"/>
      <c r="I28" s="489"/>
      <c r="J28" s="489"/>
      <c r="K28" s="489"/>
      <c r="L28" s="489"/>
      <c r="M28" s="461"/>
      <c r="N28" s="461"/>
      <c r="O28" s="461"/>
      <c r="P28" s="461"/>
    </row>
    <row r="29" spans="1:29" ht="15" customHeight="1" x14ac:dyDescent="0.2">
      <c r="A29" s="461"/>
      <c r="B29" s="461"/>
      <c r="C29" s="461"/>
      <c r="D29" s="461"/>
      <c r="E29" s="461"/>
      <c r="F29" s="461"/>
      <c r="G29" s="461"/>
      <c r="H29" s="493"/>
      <c r="I29" s="494"/>
      <c r="J29" s="494"/>
      <c r="K29" s="494"/>
      <c r="L29" s="494"/>
      <c r="M29" s="494"/>
      <c r="N29" s="494"/>
      <c r="O29" s="494"/>
      <c r="P29" s="494"/>
    </row>
    <row r="30" spans="1:29" ht="19.5" customHeight="1" thickBot="1" x14ac:dyDescent="0.25">
      <c r="A30" s="1014" t="s">
        <v>415</v>
      </c>
      <c r="B30" s="1014"/>
      <c r="C30" s="1014"/>
      <c r="D30" s="1014"/>
      <c r="E30" s="1014"/>
      <c r="F30" s="1014"/>
      <c r="G30" s="1014"/>
      <c r="H30" s="1014"/>
      <c r="I30" s="1014"/>
      <c r="J30" s="1014"/>
      <c r="K30" s="1014"/>
      <c r="L30" s="1014"/>
      <c r="M30" s="1014"/>
      <c r="N30" s="1014"/>
      <c r="O30" s="1014"/>
      <c r="P30" s="1014"/>
    </row>
    <row r="31" spans="1:29" ht="13.7" customHeight="1" thickTop="1" x14ac:dyDescent="0.2">
      <c r="A31" s="1015" t="s">
        <v>416</v>
      </c>
      <c r="B31" s="1018" t="s">
        <v>417</v>
      </c>
      <c r="C31" s="1021" t="s">
        <v>418</v>
      </c>
      <c r="D31" s="1024" t="s">
        <v>419</v>
      </c>
      <c r="E31" s="1025"/>
      <c r="F31" s="1025"/>
      <c r="G31" s="1025"/>
      <c r="H31" s="1026"/>
      <c r="I31" s="1033" t="s">
        <v>420</v>
      </c>
      <c r="J31" s="1033" t="s">
        <v>421</v>
      </c>
      <c r="K31" s="1033" t="s">
        <v>422</v>
      </c>
      <c r="L31" s="1033" t="s">
        <v>423</v>
      </c>
      <c r="M31" s="1033" t="s">
        <v>424</v>
      </c>
      <c r="N31" s="1033" t="s">
        <v>425</v>
      </c>
      <c r="O31" s="1033" t="s">
        <v>426</v>
      </c>
      <c r="P31" s="1036" t="s">
        <v>427</v>
      </c>
      <c r="S31" s="983" t="s">
        <v>428</v>
      </c>
      <c r="T31" s="984"/>
    </row>
    <row r="32" spans="1:29" x14ac:dyDescent="0.2">
      <c r="A32" s="1016"/>
      <c r="B32" s="1019"/>
      <c r="C32" s="1022"/>
      <c r="D32" s="1027"/>
      <c r="E32" s="1028"/>
      <c r="F32" s="1028"/>
      <c r="G32" s="1028"/>
      <c r="H32" s="1029"/>
      <c r="I32" s="1034"/>
      <c r="J32" s="1034"/>
      <c r="K32" s="1034"/>
      <c r="L32" s="1034"/>
      <c r="M32" s="1034"/>
      <c r="N32" s="1034"/>
      <c r="O32" s="1034"/>
      <c r="P32" s="1037"/>
      <c r="S32" s="985"/>
      <c r="T32" s="986"/>
    </row>
    <row r="33" spans="1:20" ht="25.5" customHeight="1" thickBot="1" x14ac:dyDescent="0.25">
      <c r="A33" s="1017"/>
      <c r="B33" s="1020"/>
      <c r="C33" s="1023"/>
      <c r="D33" s="1030"/>
      <c r="E33" s="1031"/>
      <c r="F33" s="1031"/>
      <c r="G33" s="1031"/>
      <c r="H33" s="1032"/>
      <c r="I33" s="1035"/>
      <c r="J33" s="1035"/>
      <c r="K33" s="1035"/>
      <c r="L33" s="1035"/>
      <c r="M33" s="1035"/>
      <c r="N33" s="1035"/>
      <c r="O33" s="1035"/>
      <c r="P33" s="1038"/>
      <c r="S33" s="985"/>
      <c r="T33" s="986"/>
    </row>
    <row r="34" spans="1:20" ht="15" customHeight="1" thickTop="1" x14ac:dyDescent="0.2">
      <c r="A34" s="466">
        <v>1</v>
      </c>
      <c r="B34" s="320" t="s">
        <v>44</v>
      </c>
      <c r="C34" s="321" t="s">
        <v>429</v>
      </c>
      <c r="D34" s="1042" t="s">
        <v>430</v>
      </c>
      <c r="E34" s="1043"/>
      <c r="F34" s="1043"/>
      <c r="G34" s="1043"/>
      <c r="H34" s="1044"/>
      <c r="I34" s="495">
        <v>15.5</v>
      </c>
      <c r="J34" s="495">
        <v>10</v>
      </c>
      <c r="K34" s="496">
        <v>13.888888888888889</v>
      </c>
      <c r="L34" s="209">
        <f t="shared" ref="L34:L45" si="8">IF(K34=0,"",0.5)</f>
        <v>0.5</v>
      </c>
      <c r="M34" s="209">
        <f>IF(J34=0,"",IF(ROUND(J34,0)&lt;3,0.7,IF(ROUND(J34,0)&lt;5,0.9,IF(ROUND(J34,0)&lt;8,1.2,IF(ROUND(J34,0)&lt;11,1.6,IF(ROUND(J34,0)&lt;13,1.8,2))))))</f>
        <v>1.6</v>
      </c>
      <c r="N34" s="209">
        <f>IF(K34=0,"",(I34+5)/K34)</f>
        <v>1.476</v>
      </c>
      <c r="O34" s="209">
        <f>IF(K34=0,"",L34+M34)</f>
        <v>2.1</v>
      </c>
      <c r="P34" s="201">
        <f>IF(K34=0,"",N34-O34+0.5)</f>
        <v>-0.12400000000000011</v>
      </c>
      <c r="S34" s="987" t="s">
        <v>431</v>
      </c>
      <c r="T34" s="988"/>
    </row>
    <row r="35" spans="1:20" ht="15" customHeight="1" thickBot="1" x14ac:dyDescent="0.25">
      <c r="A35" s="468">
        <v>2</v>
      </c>
      <c r="B35" s="322" t="s">
        <v>432</v>
      </c>
      <c r="C35" s="323" t="s">
        <v>50</v>
      </c>
      <c r="D35" s="1039" t="s">
        <v>433</v>
      </c>
      <c r="E35" s="1040"/>
      <c r="F35" s="1040"/>
      <c r="G35" s="1040"/>
      <c r="H35" s="1041"/>
      <c r="I35" s="495">
        <v>16.5</v>
      </c>
      <c r="J35" s="495">
        <v>11</v>
      </c>
      <c r="K35" s="496">
        <v>13.888888888888889</v>
      </c>
      <c r="L35" s="210">
        <f t="shared" si="8"/>
        <v>0.5</v>
      </c>
      <c r="M35" s="210">
        <f>IF(J35=0,"",IF(ROUND(J35,0)&lt;3,0.7,IF(ROUND(J35,0)&lt;5,0.9,IF(ROUND(J35,0)&lt;8,1.2,IF(ROUND(J35,0)&lt;11,1.6,IF(ROUND(J35,0)&lt;13,1.8,2))))))</f>
        <v>1.8</v>
      </c>
      <c r="N35" s="210">
        <f>IF(K35=0,"",(I35+5)/K35)</f>
        <v>1.548</v>
      </c>
      <c r="O35" s="210">
        <f>IF(K35=0,"",L35+M35)</f>
        <v>2.2999999999999998</v>
      </c>
      <c r="P35" s="201">
        <f>IF(K35=0,"",N35-O35+0.5)</f>
        <v>-0.25199999999999978</v>
      </c>
      <c r="S35" s="989"/>
      <c r="T35" s="990"/>
    </row>
    <row r="36" spans="1:20" ht="15" customHeight="1" thickTop="1" x14ac:dyDescent="0.2">
      <c r="A36" s="468">
        <v>3</v>
      </c>
      <c r="B36" s="322" t="s">
        <v>44</v>
      </c>
      <c r="C36" s="321" t="s">
        <v>50</v>
      </c>
      <c r="D36" s="1039" t="s">
        <v>434</v>
      </c>
      <c r="E36" s="1045"/>
      <c r="F36" s="1045"/>
      <c r="G36" s="1045"/>
      <c r="H36" s="1046"/>
      <c r="I36" s="495">
        <v>15</v>
      </c>
      <c r="J36" s="495">
        <v>10</v>
      </c>
      <c r="K36" s="496">
        <v>11.111111111111111</v>
      </c>
      <c r="L36" s="210">
        <f t="shared" ref="L36" si="9">IF(K36=0,"",0.5)</f>
        <v>0.5</v>
      </c>
      <c r="M36" s="210">
        <f>IF(J36=0,"",IF(ROUND(J36,0)&lt;3,0.7,IF(ROUND(J36,0)&lt;5,0.9,IF(ROUND(J36,0)&lt;8,1.2,IF(ROUND(J36,0)&lt;11,1.6,IF(ROUND(J36,0)&lt;13,1.8,2))))))</f>
        <v>1.6</v>
      </c>
      <c r="N36" s="210">
        <f>IF(K36=0,"",(I36+5)/K36)</f>
        <v>1.8</v>
      </c>
      <c r="O36" s="210">
        <f>IF(K36=0,"",L36+M36)</f>
        <v>2.1</v>
      </c>
      <c r="P36" s="201">
        <f>IF(K36=0,"",N36-O36+0.5)</f>
        <v>0.19999999999999996</v>
      </c>
      <c r="S36" s="379"/>
      <c r="T36" s="379"/>
    </row>
    <row r="37" spans="1:20" ht="15" customHeight="1" x14ac:dyDescent="0.2">
      <c r="A37" s="468">
        <v>4</v>
      </c>
      <c r="B37" s="322" t="s">
        <v>45</v>
      </c>
      <c r="C37" s="320" t="s">
        <v>50</v>
      </c>
      <c r="D37" s="1039" t="s">
        <v>435</v>
      </c>
      <c r="E37" s="1040"/>
      <c r="F37" s="1040"/>
      <c r="G37" s="1040"/>
      <c r="H37" s="1041"/>
      <c r="I37" s="495">
        <v>14</v>
      </c>
      <c r="J37" s="495">
        <v>17.5</v>
      </c>
      <c r="K37" s="496">
        <v>11.111111111111111</v>
      </c>
      <c r="L37" s="209">
        <f t="shared" si="8"/>
        <v>0.5</v>
      </c>
      <c r="M37" s="209">
        <f t="shared" ref="M37:M45" si="10">IF(J37=0,"",IF(ROUND(J37,0)&lt;3,0.7,IF(ROUND(J37,0)&lt;5,0.9,IF(ROUND(J37,0)&lt;8,1.2,IF(ROUND(J37,0)&lt;11,1.6,IF(ROUND(J37,0)&lt;13,1.8,2))))))</f>
        <v>2</v>
      </c>
      <c r="N37" s="209">
        <f t="shared" ref="N37:N45" si="11">IF(K37=0,"",(I37+5)/K37)</f>
        <v>1.71</v>
      </c>
      <c r="O37" s="209">
        <f t="shared" ref="O37:O45" si="12">IF(K37=0,"",L37+M37)</f>
        <v>2.5</v>
      </c>
      <c r="P37" s="201">
        <f t="shared" ref="P37:P45" si="13">IF(K37=0,"",N37-O37+0.5)</f>
        <v>-0.29000000000000004</v>
      </c>
    </row>
    <row r="38" spans="1:20" ht="15" customHeight="1" x14ac:dyDescent="0.2">
      <c r="A38" s="468">
        <v>5</v>
      </c>
      <c r="B38" s="322" t="s">
        <v>429</v>
      </c>
      <c r="C38" s="320" t="s">
        <v>44</v>
      </c>
      <c r="D38" s="1039" t="s">
        <v>436</v>
      </c>
      <c r="E38" s="1045"/>
      <c r="F38" s="1045"/>
      <c r="G38" s="1045"/>
      <c r="H38" s="1046"/>
      <c r="I38" s="495">
        <v>16</v>
      </c>
      <c r="J38" s="495">
        <v>6.5</v>
      </c>
      <c r="K38" s="496">
        <v>11.111111111111111</v>
      </c>
      <c r="L38" s="209">
        <f t="shared" ref="L38" si="14">IF(K38=0,"",0.5)</f>
        <v>0.5</v>
      </c>
      <c r="M38" s="209">
        <f t="shared" ref="M38" si="15">IF(J38=0,"",IF(ROUND(J38,0)&lt;3,0.7,IF(ROUND(J38,0)&lt;5,0.9,IF(ROUND(J38,0)&lt;8,1.2,IF(ROUND(J38,0)&lt;11,1.6,IF(ROUND(J38,0)&lt;13,1.8,2))))))</f>
        <v>1.2</v>
      </c>
      <c r="N38" s="209">
        <f t="shared" ref="N38" si="16">IF(K38=0,"",(I38+5)/K38)</f>
        <v>1.8900000000000001</v>
      </c>
      <c r="O38" s="209">
        <f t="shared" ref="O38" si="17">IF(K38=0,"",L38+M38)</f>
        <v>1.7</v>
      </c>
      <c r="P38" s="201">
        <f t="shared" ref="P38" si="18">IF(K38=0,"",N38-O38+0.5)</f>
        <v>0.69000000000000017</v>
      </c>
    </row>
    <row r="39" spans="1:20" ht="15" customHeight="1" x14ac:dyDescent="0.2">
      <c r="A39" s="468">
        <v>6</v>
      </c>
      <c r="B39" s="322" t="s">
        <v>429</v>
      </c>
      <c r="C39" s="322" t="s">
        <v>432</v>
      </c>
      <c r="D39" s="1039" t="s">
        <v>437</v>
      </c>
      <c r="E39" s="1040"/>
      <c r="F39" s="1040"/>
      <c r="G39" s="1040"/>
      <c r="H39" s="1041"/>
      <c r="I39" s="495">
        <v>19</v>
      </c>
      <c r="J39" s="495">
        <v>8.5</v>
      </c>
      <c r="K39" s="496">
        <v>13.888888888888889</v>
      </c>
      <c r="L39" s="210">
        <f t="shared" si="8"/>
        <v>0.5</v>
      </c>
      <c r="M39" s="210">
        <f t="shared" si="10"/>
        <v>1.6</v>
      </c>
      <c r="N39" s="210">
        <f t="shared" si="11"/>
        <v>1.728</v>
      </c>
      <c r="O39" s="210">
        <f t="shared" si="12"/>
        <v>2.1</v>
      </c>
      <c r="P39" s="201">
        <f t="shared" si="13"/>
        <v>0.12799999999999989</v>
      </c>
    </row>
    <row r="40" spans="1:20" ht="15" customHeight="1" x14ac:dyDescent="0.2">
      <c r="A40" s="468">
        <v>7</v>
      </c>
      <c r="B40" s="322" t="s">
        <v>50</v>
      </c>
      <c r="C40" s="320" t="s">
        <v>44</v>
      </c>
      <c r="D40" s="1039" t="s">
        <v>438</v>
      </c>
      <c r="E40" s="1040"/>
      <c r="F40" s="1040"/>
      <c r="G40" s="1040"/>
      <c r="H40" s="1041"/>
      <c r="I40" s="495">
        <v>20.5</v>
      </c>
      <c r="J40" s="495">
        <v>7.5</v>
      </c>
      <c r="K40" s="496">
        <v>13.888888888888889</v>
      </c>
      <c r="L40" s="209">
        <f t="shared" si="8"/>
        <v>0.5</v>
      </c>
      <c r="M40" s="209">
        <f t="shared" si="10"/>
        <v>1.6</v>
      </c>
      <c r="N40" s="209">
        <f t="shared" si="11"/>
        <v>1.8359999999999999</v>
      </c>
      <c r="O40" s="209">
        <f t="shared" si="12"/>
        <v>2.1</v>
      </c>
      <c r="P40" s="201">
        <f t="shared" si="13"/>
        <v>0.23599999999999977</v>
      </c>
    </row>
    <row r="41" spans="1:20" ht="15" customHeight="1" x14ac:dyDescent="0.2">
      <c r="A41" s="468">
        <v>8</v>
      </c>
      <c r="B41" s="325" t="s">
        <v>50</v>
      </c>
      <c r="C41" s="380" t="s">
        <v>432</v>
      </c>
      <c r="D41" s="1057" t="s">
        <v>439</v>
      </c>
      <c r="E41" s="1058"/>
      <c r="F41" s="1058"/>
      <c r="G41" s="1058"/>
      <c r="H41" s="1059"/>
      <c r="I41" s="496">
        <v>19.5</v>
      </c>
      <c r="J41" s="496">
        <v>5.5</v>
      </c>
      <c r="K41" s="496">
        <v>11.111111111111111</v>
      </c>
      <c r="L41" s="210">
        <f t="shared" si="8"/>
        <v>0.5</v>
      </c>
      <c r="M41" s="210">
        <f t="shared" si="10"/>
        <v>1.2</v>
      </c>
      <c r="N41" s="210">
        <f t="shared" si="11"/>
        <v>2.2050000000000001</v>
      </c>
      <c r="O41" s="210">
        <f t="shared" si="12"/>
        <v>1.7</v>
      </c>
      <c r="P41" s="201">
        <f t="shared" si="13"/>
        <v>1.0050000000000001</v>
      </c>
    </row>
    <row r="42" spans="1:20" ht="15" customHeight="1" x14ac:dyDescent="0.2">
      <c r="A42" s="468">
        <v>9</v>
      </c>
      <c r="B42" s="325" t="s">
        <v>46</v>
      </c>
      <c r="C42" s="380" t="s">
        <v>44</v>
      </c>
      <c r="D42" s="1057" t="s">
        <v>440</v>
      </c>
      <c r="E42" s="1058"/>
      <c r="F42" s="1058"/>
      <c r="G42" s="1058"/>
      <c r="H42" s="1059"/>
      <c r="I42" s="496">
        <v>11.5</v>
      </c>
      <c r="J42" s="496">
        <v>13.5</v>
      </c>
      <c r="K42" s="496">
        <v>11.111111111111111</v>
      </c>
      <c r="L42" s="209">
        <f t="shared" si="8"/>
        <v>0.5</v>
      </c>
      <c r="M42" s="209">
        <f t="shared" si="10"/>
        <v>2</v>
      </c>
      <c r="N42" s="209">
        <f t="shared" si="11"/>
        <v>1.4850000000000001</v>
      </c>
      <c r="O42" s="209">
        <f t="shared" si="12"/>
        <v>2.5</v>
      </c>
      <c r="P42" s="201">
        <f t="shared" si="13"/>
        <v>-0.5149999999999999</v>
      </c>
    </row>
    <row r="43" spans="1:20" ht="15" customHeight="1" x14ac:dyDescent="0.2">
      <c r="A43" s="468">
        <v>10</v>
      </c>
      <c r="B43" s="320"/>
      <c r="C43" s="321"/>
      <c r="D43" s="1057"/>
      <c r="E43" s="1058"/>
      <c r="F43" s="1058"/>
      <c r="G43" s="1058"/>
      <c r="H43" s="1059"/>
      <c r="I43" s="496"/>
      <c r="J43" s="496"/>
      <c r="K43" s="496"/>
      <c r="L43" s="210" t="str">
        <f t="shared" si="8"/>
        <v/>
      </c>
      <c r="M43" s="210" t="str">
        <f t="shared" si="10"/>
        <v/>
      </c>
      <c r="N43" s="210" t="str">
        <f t="shared" si="11"/>
        <v/>
      </c>
      <c r="O43" s="210" t="str">
        <f t="shared" si="12"/>
        <v/>
      </c>
      <c r="P43" s="201" t="str">
        <f t="shared" si="13"/>
        <v/>
      </c>
    </row>
    <row r="44" spans="1:20" ht="15" customHeight="1" x14ac:dyDescent="0.2">
      <c r="A44" s="468">
        <v>11</v>
      </c>
      <c r="B44" s="320"/>
      <c r="C44" s="321"/>
      <c r="D44" s="1057"/>
      <c r="E44" s="1058"/>
      <c r="F44" s="1058"/>
      <c r="G44" s="1058"/>
      <c r="H44" s="1059"/>
      <c r="I44" s="496"/>
      <c r="J44" s="496"/>
      <c r="K44" s="496"/>
      <c r="L44" s="209" t="str">
        <f t="shared" si="8"/>
        <v/>
      </c>
      <c r="M44" s="209" t="str">
        <f t="shared" si="10"/>
        <v/>
      </c>
      <c r="N44" s="209" t="str">
        <f t="shared" si="11"/>
        <v/>
      </c>
      <c r="O44" s="209" t="str">
        <f t="shared" si="12"/>
        <v/>
      </c>
      <c r="P44" s="201" t="str">
        <f t="shared" si="13"/>
        <v/>
      </c>
    </row>
    <row r="45" spans="1:20" ht="15" customHeight="1" thickBot="1" x14ac:dyDescent="0.25">
      <c r="A45" s="471">
        <v>12</v>
      </c>
      <c r="B45" s="381"/>
      <c r="C45" s="382"/>
      <c r="D45" s="1010"/>
      <c r="E45" s="1047"/>
      <c r="F45" s="1047"/>
      <c r="G45" s="1047"/>
      <c r="H45" s="1011"/>
      <c r="I45" s="479"/>
      <c r="J45" s="479"/>
      <c r="K45" s="479"/>
      <c r="L45" s="211" t="str">
        <f t="shared" si="8"/>
        <v/>
      </c>
      <c r="M45" s="211" t="str">
        <f t="shared" si="10"/>
        <v/>
      </c>
      <c r="N45" s="211" t="str">
        <f t="shared" si="11"/>
        <v/>
      </c>
      <c r="O45" s="211" t="str">
        <f t="shared" si="12"/>
        <v/>
      </c>
      <c r="P45" s="202" t="str">
        <f t="shared" si="13"/>
        <v/>
      </c>
    </row>
    <row r="46" spans="1:20" ht="15" customHeight="1" thickTop="1" x14ac:dyDescent="0.2">
      <c r="A46" s="461"/>
      <c r="B46" s="461"/>
      <c r="C46" s="461"/>
      <c r="D46" s="461"/>
      <c r="E46" s="461"/>
      <c r="F46" s="461"/>
      <c r="G46" s="461"/>
      <c r="H46" s="461"/>
      <c r="I46" s="461"/>
      <c r="J46" s="461"/>
      <c r="K46" s="461"/>
      <c r="L46" s="461"/>
      <c r="M46" s="461"/>
      <c r="N46" s="461"/>
      <c r="O46" s="461"/>
      <c r="P46" s="461"/>
    </row>
    <row r="47" spans="1:20" ht="19.5" customHeight="1" thickBot="1" x14ac:dyDescent="0.25">
      <c r="A47" s="1014" t="s">
        <v>441</v>
      </c>
      <c r="B47" s="1014"/>
      <c r="C47" s="1014"/>
      <c r="D47" s="1014"/>
      <c r="E47" s="1014"/>
      <c r="F47" s="1014"/>
      <c r="G47" s="1014"/>
      <c r="H47" s="1014"/>
      <c r="I47" s="1014"/>
      <c r="J47" s="1014"/>
      <c r="K47" s="1014"/>
      <c r="L47" s="1014"/>
      <c r="M47" s="1014"/>
      <c r="N47" s="1014"/>
      <c r="O47" s="1014"/>
      <c r="P47" s="1014"/>
    </row>
    <row r="48" spans="1:20" ht="13.7" customHeight="1" thickTop="1" x14ac:dyDescent="0.2">
      <c r="A48" s="1048" t="s">
        <v>416</v>
      </c>
      <c r="B48" s="1018" t="s">
        <v>417</v>
      </c>
      <c r="C48" s="1021" t="s">
        <v>418</v>
      </c>
      <c r="D48" s="1024" t="s">
        <v>419</v>
      </c>
      <c r="E48" s="1025"/>
      <c r="F48" s="1025"/>
      <c r="G48" s="1025"/>
      <c r="H48" s="1026"/>
      <c r="I48" s="1033" t="s">
        <v>420</v>
      </c>
      <c r="J48" s="1033" t="s">
        <v>442</v>
      </c>
      <c r="K48" s="1033" t="s">
        <v>443</v>
      </c>
      <c r="L48" s="1033" t="s">
        <v>444</v>
      </c>
      <c r="M48" s="1033" t="s">
        <v>445</v>
      </c>
      <c r="N48" s="1033" t="s">
        <v>446</v>
      </c>
      <c r="O48" s="1033" t="s">
        <v>447</v>
      </c>
      <c r="P48" s="1036" t="s">
        <v>448</v>
      </c>
    </row>
    <row r="49" spans="1:16" x14ac:dyDescent="0.2">
      <c r="A49" s="1049"/>
      <c r="B49" s="1019"/>
      <c r="C49" s="1022"/>
      <c r="D49" s="1027"/>
      <c r="E49" s="1028"/>
      <c r="F49" s="1028"/>
      <c r="G49" s="1028"/>
      <c r="H49" s="1029"/>
      <c r="I49" s="1034"/>
      <c r="J49" s="1034"/>
      <c r="K49" s="1034"/>
      <c r="L49" s="1034"/>
      <c r="M49" s="1034"/>
      <c r="N49" s="1034"/>
      <c r="O49" s="1034"/>
      <c r="P49" s="1037"/>
    </row>
    <row r="50" spans="1:16" ht="35.25" customHeight="1" thickBot="1" x14ac:dyDescent="0.25">
      <c r="A50" s="1050"/>
      <c r="B50" s="1020"/>
      <c r="C50" s="1023"/>
      <c r="D50" s="1030"/>
      <c r="E50" s="1031"/>
      <c r="F50" s="1031"/>
      <c r="G50" s="1031"/>
      <c r="H50" s="1032"/>
      <c r="I50" s="1035"/>
      <c r="J50" s="1035"/>
      <c r="K50" s="1035"/>
      <c r="L50" s="1035"/>
      <c r="M50" s="1035"/>
      <c r="N50" s="1035"/>
      <c r="O50" s="1035"/>
      <c r="P50" s="1038"/>
    </row>
    <row r="51" spans="1:16" ht="15" customHeight="1" thickTop="1" x14ac:dyDescent="0.2">
      <c r="A51" s="466" t="s">
        <v>370</v>
      </c>
      <c r="B51" s="320" t="s">
        <v>44</v>
      </c>
      <c r="C51" s="321" t="s">
        <v>429</v>
      </c>
      <c r="D51" s="1060" t="s">
        <v>449</v>
      </c>
      <c r="E51" s="1061"/>
      <c r="F51" s="1061"/>
      <c r="G51" s="1061"/>
      <c r="H51" s="1062"/>
      <c r="I51" s="497">
        <v>20.5</v>
      </c>
      <c r="J51" s="497">
        <v>0.5</v>
      </c>
      <c r="K51" s="326">
        <v>13.888888888888889</v>
      </c>
      <c r="L51" s="209">
        <f t="shared" ref="L51:L58" si="19">IF(K51=0,"",0.3)</f>
        <v>0.3</v>
      </c>
      <c r="M51" s="209">
        <f>IF(K51=0,"",J51/2)</f>
        <v>0.25</v>
      </c>
      <c r="N51" s="209">
        <f>IF(K51=0,"",I51/K51)</f>
        <v>1.476</v>
      </c>
      <c r="O51" s="209">
        <f>IF(K51=0,"",L51+M51)</f>
        <v>0.55000000000000004</v>
      </c>
      <c r="P51" s="201">
        <f t="shared" ref="P51:P58" si="20">IF(K51=0,"",N51-O51+0.5)</f>
        <v>1.4259999999999999</v>
      </c>
    </row>
    <row r="52" spans="1:16" ht="15" customHeight="1" x14ac:dyDescent="0.2">
      <c r="A52" s="468" t="s">
        <v>256</v>
      </c>
      <c r="B52" s="320" t="s">
        <v>432</v>
      </c>
      <c r="C52" s="321" t="s">
        <v>50</v>
      </c>
      <c r="D52" s="1063" t="s">
        <v>450</v>
      </c>
      <c r="E52" s="1064"/>
      <c r="F52" s="1064"/>
      <c r="G52" s="1064"/>
      <c r="H52" s="1065"/>
      <c r="I52" s="498">
        <v>20</v>
      </c>
      <c r="J52" s="497">
        <v>0.5</v>
      </c>
      <c r="K52" s="499">
        <v>13.888888888888889</v>
      </c>
      <c r="L52" s="209">
        <f t="shared" si="19"/>
        <v>0.3</v>
      </c>
      <c r="M52" s="209">
        <f t="shared" ref="M52:M58" si="21">IF(K52=0,"",J52/2)</f>
        <v>0.25</v>
      </c>
      <c r="N52" s="209">
        <f t="shared" ref="N52:N58" si="22">IF(K52=0,"",I52/K52)</f>
        <v>1.44</v>
      </c>
      <c r="O52" s="209">
        <f t="shared" ref="O52:O58" si="23">IF(K52=0,"",L52+M52)</f>
        <v>0.55000000000000004</v>
      </c>
      <c r="P52" s="201">
        <f t="shared" si="20"/>
        <v>1.39</v>
      </c>
    </row>
    <row r="53" spans="1:16" ht="15" customHeight="1" x14ac:dyDescent="0.2">
      <c r="A53" s="468" t="s">
        <v>257</v>
      </c>
      <c r="B53" s="320" t="s">
        <v>45</v>
      </c>
      <c r="C53" s="321" t="s">
        <v>50</v>
      </c>
      <c r="D53" s="1063" t="s">
        <v>451</v>
      </c>
      <c r="E53" s="1064"/>
      <c r="F53" s="1064"/>
      <c r="G53" s="1064"/>
      <c r="H53" s="1065"/>
      <c r="I53" s="495">
        <v>19</v>
      </c>
      <c r="J53" s="497">
        <v>1</v>
      </c>
      <c r="K53" s="496">
        <v>11.111111111111111</v>
      </c>
      <c r="L53" s="209">
        <f t="shared" si="19"/>
        <v>0.3</v>
      </c>
      <c r="M53" s="209">
        <f t="shared" si="21"/>
        <v>0.5</v>
      </c>
      <c r="N53" s="209">
        <f t="shared" si="22"/>
        <v>1.71</v>
      </c>
      <c r="O53" s="209">
        <f t="shared" si="23"/>
        <v>0.8</v>
      </c>
      <c r="P53" s="201">
        <f t="shared" si="20"/>
        <v>1.41</v>
      </c>
    </row>
    <row r="54" spans="1:16" ht="15" customHeight="1" x14ac:dyDescent="0.2">
      <c r="A54" s="468" t="s">
        <v>258</v>
      </c>
      <c r="B54" s="320" t="s">
        <v>50</v>
      </c>
      <c r="C54" s="321" t="s">
        <v>44</v>
      </c>
      <c r="D54" s="1063" t="s">
        <v>452</v>
      </c>
      <c r="E54" s="1064"/>
      <c r="F54" s="1064"/>
      <c r="G54" s="1064"/>
      <c r="H54" s="1065"/>
      <c r="I54" s="495">
        <v>26.5</v>
      </c>
      <c r="J54" s="497">
        <v>0.5</v>
      </c>
      <c r="K54" s="496">
        <v>13.888888888888889</v>
      </c>
      <c r="L54" s="209">
        <f t="shared" si="19"/>
        <v>0.3</v>
      </c>
      <c r="M54" s="209">
        <f t="shared" si="21"/>
        <v>0.25</v>
      </c>
      <c r="N54" s="209">
        <f t="shared" si="22"/>
        <v>1.9079999999999999</v>
      </c>
      <c r="O54" s="209">
        <f t="shared" si="23"/>
        <v>0.55000000000000004</v>
      </c>
      <c r="P54" s="201">
        <f t="shared" si="20"/>
        <v>1.8579999999999999</v>
      </c>
    </row>
    <row r="55" spans="1:16" ht="15" customHeight="1" x14ac:dyDescent="0.2">
      <c r="A55" s="468" t="s">
        <v>259</v>
      </c>
      <c r="B55" s="320" t="s">
        <v>46</v>
      </c>
      <c r="C55" s="321" t="s">
        <v>44</v>
      </c>
      <c r="D55" s="1057" t="s">
        <v>453</v>
      </c>
      <c r="E55" s="1058"/>
      <c r="F55" s="1058"/>
      <c r="G55" s="1058"/>
      <c r="H55" s="1059"/>
      <c r="I55" s="496">
        <v>19.5</v>
      </c>
      <c r="J55" s="496">
        <v>1</v>
      </c>
      <c r="K55" s="496">
        <v>11.111111111111111</v>
      </c>
      <c r="L55" s="209">
        <f t="shared" si="19"/>
        <v>0.3</v>
      </c>
      <c r="M55" s="209">
        <f t="shared" si="21"/>
        <v>0.5</v>
      </c>
      <c r="N55" s="209">
        <f t="shared" si="22"/>
        <v>1.7550000000000001</v>
      </c>
      <c r="O55" s="209">
        <f t="shared" si="23"/>
        <v>0.8</v>
      </c>
      <c r="P55" s="201">
        <f t="shared" si="20"/>
        <v>1.4550000000000001</v>
      </c>
    </row>
    <row r="56" spans="1:16" ht="15" customHeight="1" x14ac:dyDescent="0.2">
      <c r="A56" s="468" t="s">
        <v>260</v>
      </c>
      <c r="B56" s="320" t="s">
        <v>429</v>
      </c>
      <c r="C56" s="321" t="s">
        <v>432</v>
      </c>
      <c r="D56" s="1057" t="s">
        <v>454</v>
      </c>
      <c r="E56" s="1058"/>
      <c r="F56" s="1058"/>
      <c r="G56" s="1058"/>
      <c r="H56" s="1059"/>
      <c r="I56" s="496">
        <v>26</v>
      </c>
      <c r="J56" s="496">
        <v>0.5</v>
      </c>
      <c r="K56" s="496">
        <v>13.888888888888889</v>
      </c>
      <c r="L56" s="209">
        <f t="shared" si="19"/>
        <v>0.3</v>
      </c>
      <c r="M56" s="209">
        <f t="shared" si="21"/>
        <v>0.25</v>
      </c>
      <c r="N56" s="209">
        <f t="shared" si="22"/>
        <v>1.8719999999999999</v>
      </c>
      <c r="O56" s="209">
        <f t="shared" si="23"/>
        <v>0.55000000000000004</v>
      </c>
      <c r="P56" s="201">
        <f t="shared" si="20"/>
        <v>1.8219999999999998</v>
      </c>
    </row>
    <row r="57" spans="1:16" ht="15" customHeight="1" x14ac:dyDescent="0.2">
      <c r="A57" s="468" t="s">
        <v>261</v>
      </c>
      <c r="B57" s="320" t="s">
        <v>44</v>
      </c>
      <c r="C57" s="321" t="s">
        <v>46</v>
      </c>
      <c r="D57" s="1057" t="s">
        <v>455</v>
      </c>
      <c r="E57" s="1058"/>
      <c r="F57" s="1058"/>
      <c r="G57" s="1058"/>
      <c r="H57" s="1059"/>
      <c r="I57" s="496">
        <v>21.5</v>
      </c>
      <c r="J57" s="496">
        <v>1</v>
      </c>
      <c r="K57" s="496">
        <v>11.111111111111111</v>
      </c>
      <c r="L57" s="209">
        <f t="shared" si="19"/>
        <v>0.3</v>
      </c>
      <c r="M57" s="209">
        <f t="shared" si="21"/>
        <v>0.5</v>
      </c>
      <c r="N57" s="209">
        <f t="shared" si="22"/>
        <v>1.9350000000000001</v>
      </c>
      <c r="O57" s="209">
        <f t="shared" si="23"/>
        <v>0.8</v>
      </c>
      <c r="P57" s="201">
        <f t="shared" si="20"/>
        <v>1.635</v>
      </c>
    </row>
    <row r="58" spans="1:16" ht="15" customHeight="1" thickBot="1" x14ac:dyDescent="0.25">
      <c r="A58" s="471" t="s">
        <v>262</v>
      </c>
      <c r="B58" s="381" t="s">
        <v>50</v>
      </c>
      <c r="C58" s="382" t="s">
        <v>45</v>
      </c>
      <c r="D58" s="1010" t="s">
        <v>456</v>
      </c>
      <c r="E58" s="1047"/>
      <c r="F58" s="1047"/>
      <c r="G58" s="1047"/>
      <c r="H58" s="1011"/>
      <c r="I58" s="479">
        <v>21</v>
      </c>
      <c r="J58" s="479">
        <v>1</v>
      </c>
      <c r="K58" s="479">
        <v>11.111111111111111</v>
      </c>
      <c r="L58" s="211">
        <f t="shared" si="19"/>
        <v>0.3</v>
      </c>
      <c r="M58" s="211">
        <f t="shared" si="21"/>
        <v>0.5</v>
      </c>
      <c r="N58" s="211">
        <f t="shared" si="22"/>
        <v>1.8900000000000001</v>
      </c>
      <c r="O58" s="211">
        <f t="shared" si="23"/>
        <v>0.8</v>
      </c>
      <c r="P58" s="201">
        <f t="shared" si="20"/>
        <v>1.59</v>
      </c>
    </row>
    <row r="59" spans="1:16" ht="13.5" thickTop="1" x14ac:dyDescent="0.2"/>
  </sheetData>
  <mergeCells count="89">
    <mergeCell ref="M8:O9"/>
    <mergeCell ref="D55:H55"/>
    <mergeCell ref="D56:H56"/>
    <mergeCell ref="D57:H57"/>
    <mergeCell ref="D58:H58"/>
    <mergeCell ref="D51:H51"/>
    <mergeCell ref="D52:H52"/>
    <mergeCell ref="D53:H53"/>
    <mergeCell ref="D54:H54"/>
    <mergeCell ref="M48:M50"/>
    <mergeCell ref="N48:N50"/>
    <mergeCell ref="O48:O50"/>
    <mergeCell ref="D41:H41"/>
    <mergeCell ref="D42:H42"/>
    <mergeCell ref="D43:H43"/>
    <mergeCell ref="D44:H44"/>
    <mergeCell ref="P48:P50"/>
    <mergeCell ref="D45:H45"/>
    <mergeCell ref="A47:P47"/>
    <mergeCell ref="A48:A50"/>
    <mergeCell ref="B48:B50"/>
    <mergeCell ref="C48:C50"/>
    <mergeCell ref="D48:H50"/>
    <mergeCell ref="I48:I50"/>
    <mergeCell ref="J48:J50"/>
    <mergeCell ref="K48:K50"/>
    <mergeCell ref="L48:L50"/>
    <mergeCell ref="D35:H35"/>
    <mergeCell ref="D37:H37"/>
    <mergeCell ref="D39:H39"/>
    <mergeCell ref="D40:H40"/>
    <mergeCell ref="D34:H34"/>
    <mergeCell ref="D36:H36"/>
    <mergeCell ref="D38:H38"/>
    <mergeCell ref="A30:P30"/>
    <mergeCell ref="A31:A33"/>
    <mergeCell ref="B31:B33"/>
    <mergeCell ref="C31:C33"/>
    <mergeCell ref="D31:H33"/>
    <mergeCell ref="I31:I33"/>
    <mergeCell ref="J31:J33"/>
    <mergeCell ref="K31:K33"/>
    <mergeCell ref="N31:N33"/>
    <mergeCell ref="O31:O33"/>
    <mergeCell ref="L31:L33"/>
    <mergeCell ref="M31:M33"/>
    <mergeCell ref="P31:P33"/>
    <mergeCell ref="B25:C25"/>
    <mergeCell ref="E25:F25"/>
    <mergeCell ref="G25:H25"/>
    <mergeCell ref="J25:L25"/>
    <mergeCell ref="B24:C24"/>
    <mergeCell ref="E24:F24"/>
    <mergeCell ref="G24:H24"/>
    <mergeCell ref="J24:L24"/>
    <mergeCell ref="B23:C23"/>
    <mergeCell ref="E23:F23"/>
    <mergeCell ref="G23:H23"/>
    <mergeCell ref="J23:L23"/>
    <mergeCell ref="B22:C22"/>
    <mergeCell ref="E22:F22"/>
    <mergeCell ref="G22:H22"/>
    <mergeCell ref="J22:L22"/>
    <mergeCell ref="J21:L21"/>
    <mergeCell ref="B20:C20"/>
    <mergeCell ref="E20:F20"/>
    <mergeCell ref="G20:H20"/>
    <mergeCell ref="J20:L20"/>
    <mergeCell ref="E18:F18"/>
    <mergeCell ref="G18:I18"/>
    <mergeCell ref="B21:C21"/>
    <mergeCell ref="E21:F21"/>
    <mergeCell ref="G21:H21"/>
    <mergeCell ref="S31:T33"/>
    <mergeCell ref="S34:T35"/>
    <mergeCell ref="J18:L18"/>
    <mergeCell ref="D1:I1"/>
    <mergeCell ref="N1:P1"/>
    <mergeCell ref="B2:D2"/>
    <mergeCell ref="G2:H2"/>
    <mergeCell ref="N2:P2"/>
    <mergeCell ref="B19:C19"/>
    <mergeCell ref="E19:F19"/>
    <mergeCell ref="G19:H19"/>
    <mergeCell ref="J19:L19"/>
    <mergeCell ref="A4:P4"/>
    <mergeCell ref="F6:M6"/>
    <mergeCell ref="C17:M17"/>
    <mergeCell ref="B18:D18"/>
  </mergeCells>
  <phoneticPr fontId="0" type="noConversion"/>
  <conditionalFormatting sqref="P34:P35 P37 P39:P45">
    <cfRule type="cellIs" dxfId="15" priority="17" stopIfTrue="1" operator="greaterThan">
      <formula>1</formula>
    </cfRule>
  </conditionalFormatting>
  <conditionalFormatting sqref="B34:C45 P34:P35 P37 P39:P45">
    <cfRule type="expression" dxfId="14" priority="15" stopIfTrue="1">
      <formula>AND(ISNUMBER(SEARCH($S$34,$B34)),((VALUE($P34)-0.1)&gt;VALUE(VLOOKUP($S$34,$A$19:$L$25,4,FALSE))))</formula>
    </cfRule>
  </conditionalFormatting>
  <conditionalFormatting sqref="B34:C45 P34:P35 P37 P39:P45">
    <cfRule type="expression" dxfId="13" priority="14" stopIfTrue="1">
      <formula>AND(ISNUMBER(SEARCH($S$34,$B34)),((VALUE($P34)-0.1)&gt;VALUE(VLOOKUP($S$34,$A$19:$L$25,9,FALSE))))</formula>
    </cfRule>
  </conditionalFormatting>
  <conditionalFormatting sqref="B51:C58">
    <cfRule type="expression" dxfId="12" priority="13" stopIfTrue="1">
      <formula>AND(ISNUMBER(SEARCH($S$34,$B51)),((VALUE($P51)-0.1)&gt;VALUE(VLOOKUP($S$34,$A$19:$L$25,4,FALSE))))</formula>
    </cfRule>
  </conditionalFormatting>
  <conditionalFormatting sqref="B51:C58">
    <cfRule type="expression" dxfId="11" priority="12" stopIfTrue="1">
      <formula>AND(ISNUMBER(SEARCH($S$34,$B51)),((VALUE($P51)-0.1)&gt;VALUE(VLOOKUP($S$34,$A$19:$L$25,9,FALSE))))</formula>
    </cfRule>
  </conditionalFormatting>
  <conditionalFormatting sqref="P51:P58">
    <cfRule type="cellIs" dxfId="10" priority="11" stopIfTrue="1" operator="greaterThan">
      <formula>1</formula>
    </cfRule>
  </conditionalFormatting>
  <conditionalFormatting sqref="P51:P58">
    <cfRule type="expression" dxfId="9" priority="10" stopIfTrue="1">
      <formula>AND(ISNUMBER(SEARCH($S$34,$B51)),((VALUE($P51)-0.1)&gt;VALUE(VLOOKUP($S$34,$A$19:$L$25,4,FALSE))))</formula>
    </cfRule>
  </conditionalFormatting>
  <conditionalFormatting sqref="P51:P58">
    <cfRule type="expression" dxfId="8" priority="9" stopIfTrue="1">
      <formula>AND(ISNUMBER(SEARCH($S$34,$B51)),((VALUE($P51)-0.1)&gt;VALUE(VLOOKUP($S$34,$A$19:$L$25,9,FALSE))))</formula>
    </cfRule>
  </conditionalFormatting>
  <conditionalFormatting sqref="D19:F25">
    <cfRule type="expression" dxfId="7" priority="8" stopIfTrue="1">
      <formula>$A19=""</formula>
    </cfRule>
  </conditionalFormatting>
  <conditionalFormatting sqref="I19:L25">
    <cfRule type="expression" dxfId="6" priority="7" stopIfTrue="1">
      <formula>$A19=""</formula>
    </cfRule>
  </conditionalFormatting>
  <conditionalFormatting sqref="P36">
    <cfRule type="cellIs" dxfId="5" priority="6" stopIfTrue="1" operator="greaterThan">
      <formula>1</formula>
    </cfRule>
  </conditionalFormatting>
  <conditionalFormatting sqref="P36">
    <cfRule type="expression" dxfId="4" priority="5" stopIfTrue="1">
      <formula>AND(ISNUMBER(SEARCH($S$34,$B36)),((VALUE($P36)-0.1)&gt;VALUE(VLOOKUP($S$34,$A$19:$L$25,4,FALSE))))</formula>
    </cfRule>
  </conditionalFormatting>
  <conditionalFormatting sqref="P36">
    <cfRule type="expression" dxfId="3" priority="4" stopIfTrue="1">
      <formula>AND(ISNUMBER(SEARCH($S$34,$B36)),((VALUE($P36)-0.1)&gt;VALUE(VLOOKUP($S$34,$A$19:$L$25,9,FALSE))))</formula>
    </cfRule>
  </conditionalFormatting>
  <conditionalFormatting sqref="P38">
    <cfRule type="cellIs" dxfId="2" priority="3" stopIfTrue="1" operator="greaterThan">
      <formula>1</formula>
    </cfRule>
  </conditionalFormatting>
  <conditionalFormatting sqref="P38">
    <cfRule type="expression" dxfId="1" priority="2" stopIfTrue="1">
      <formula>AND(ISNUMBER(SEARCH($S$34,$B38)),((VALUE($P38)-0.1)&gt;VALUE(VLOOKUP($S$34,$A$19:$L$25,4,FALSE))))</formula>
    </cfRule>
  </conditionalFormatting>
  <conditionalFormatting sqref="P38">
    <cfRule type="expression" dxfId="0" priority="1" stopIfTrue="1">
      <formula>AND(ISNUMBER(SEARCH($S$34,$B38)),((VALUE($P38)-0.1)&gt;VALUE(VLOOKUP($S$34,$A$19:$L$25,9,FALSE))))</formula>
    </cfRule>
  </conditionalFormatting>
  <dataValidations count="2">
    <dataValidation type="list" allowBlank="1" showInputMessage="1" showErrorMessage="1" sqref="K34:K45 K51:K58" xr:uid="{00000000-0002-0000-0C00-000000000000}">
      <formula1>$V$27:$AC$27</formula1>
    </dataValidation>
    <dataValidation type="list" allowBlank="1" showInputMessage="1" showErrorMessage="1" sqref="S34:T36" xr:uid="{00000000-0002-0000-0C00-000001000000}">
      <formula1>"Off,A,B,C,D,E,F,G"</formula1>
    </dataValidation>
  </dataValidations>
  <pageMargins left="0.62992125984251968" right="0.27559055118110237" top="0.98425196850393704" bottom="0.98425196850393704" header="0.51181102362204722" footer="0.51181102362204722"/>
  <pageSetup paperSize="9" scale="66" orientation="portrait" r:id="rId1"/>
  <headerFooter alignWithMargins="0">
    <oddFooter>&amp;L&amp;A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7"/>
  <sheetViews>
    <sheetView workbookViewId="0">
      <selection activeCell="J16" sqref="J16"/>
    </sheetView>
  </sheetViews>
  <sheetFormatPr defaultRowHeight="12.75" x14ac:dyDescent="0.2"/>
  <cols>
    <col min="1" max="1" width="10" style="85" bestFit="1" customWidth="1"/>
    <col min="2" max="2" width="9.42578125" style="85" bestFit="1" customWidth="1"/>
    <col min="4" max="4" width="13.28515625" style="85" bestFit="1" customWidth="1"/>
    <col min="5" max="5" width="9.85546875" style="85" customWidth="1"/>
    <col min="6" max="6" width="10.140625" style="85" customWidth="1"/>
    <col min="8" max="9" width="12.5703125" customWidth="1"/>
  </cols>
  <sheetData>
    <row r="1" spans="1:12" s="16" customFormat="1" x14ac:dyDescent="0.2">
      <c r="A1" s="215" t="s">
        <v>457</v>
      </c>
      <c r="B1" s="215" t="s">
        <v>110</v>
      </c>
      <c r="D1" s="215" t="s">
        <v>62</v>
      </c>
      <c r="E1" s="215" t="s">
        <v>458</v>
      </c>
      <c r="F1" s="215" t="s">
        <v>459</v>
      </c>
      <c r="H1" s="215" t="s">
        <v>460</v>
      </c>
      <c r="I1" s="215" t="s">
        <v>461</v>
      </c>
      <c r="J1" s="215" t="s">
        <v>458</v>
      </c>
      <c r="K1" s="215" t="s">
        <v>459</v>
      </c>
      <c r="L1" s="215" t="s">
        <v>62</v>
      </c>
    </row>
    <row r="2" spans="1:12" x14ac:dyDescent="0.2">
      <c r="A2" s="87" t="s">
        <v>462</v>
      </c>
      <c r="B2" s="87">
        <v>32</v>
      </c>
      <c r="D2" s="87">
        <f>IF(ISNUMBER('3 - Signal Group Info'!A7),'3 - Signal Group Info'!A7,"")</f>
        <v>1</v>
      </c>
      <c r="E2" s="87" t="str">
        <f>IF(ISNUMBER(D2),IF('3 - Signal Group Info'!B7="","",'3 - Signal Group Info'!B7&amp;"/")&amp;IF('3 - Signal Group Info'!C7="","",'3 - Signal Group Info'!C7&amp;"/")&amp;IF('3 - Signal Group Info'!D7="","",'3 - Signal Group Info'!D7&amp;"/")&amp;IF('3 - Signal Group Info'!E7="","",'3 - Signal Group Info'!E7&amp;"/")&amp;IF('3 - Signal Group Info'!F7="","",'3 - Signal Group Info'!F7&amp;"/")&amp;IF('3 - Signal Group Info'!G7="","",'3 - Signal Group Info'!G7&amp;"/")&amp;IF('3 - Signal Group Info'!H7="","",'3 - Signal Group Info'!H7&amp;"/"),"")</f>
        <v>B/C/</v>
      </c>
      <c r="F2" s="87" t="str">
        <f>IF(LEN(E2)&gt;0,LEFT((E2),LEN(E2)-1),"")</f>
        <v>B/C</v>
      </c>
      <c r="H2" s="87" t="str">
        <f>IF(ISNUMBER(SEARCH("p",'3 - Signal Group Info'!A7)),'3 - Signal Group Info'!A7,"")</f>
        <v/>
      </c>
      <c r="I2" s="87" t="str">
        <f>LEFT(H2,2)</f>
        <v/>
      </c>
      <c r="J2" s="87" t="str">
        <f>IF(LEN(H2)&gt;0,IF('3 - Signal Group Info'!B7="","",IF('3 - Signal Group Info'!B7="w",LEFT('3 - Signal Group Info'!B$6,1)&amp;"/",'3 - Signal Group Info'!B7&amp;"/"))&amp;IF('3 - Signal Group Info'!C7="","",IF('3 - Signal Group Info'!C7="w",LEFT('3 - Signal Group Info'!C$6,1)&amp;"/",'3 - Signal Group Info'!C7&amp;"/"))&amp;IF('3 - Signal Group Info'!D7="","",IF('3 - Signal Group Info'!D7="w",LEFT('3 - Signal Group Info'!D$6,1)&amp;"/",'3 - Signal Group Info'!D7&amp;"/"))&amp;IF('3 - Signal Group Info'!E7="","",IF('3 - Signal Group Info'!E7="w",LEFT('3 - Signal Group Info'!E$6,1)&amp;"/",'3 - Signal Group Info'!E7&amp;"/"))&amp;IF('3 - Signal Group Info'!F7="","",IF('3 - Signal Group Info'!F7="w",LEFT('3 - Signal Group Info'!F$6,1)&amp;"/",'3 - Signal Group Info'!F7&amp;"/"))&amp;IF('3 - Signal Group Info'!G7="","",IF('3 - Signal Group Info'!G7="w",LEFT('3 - Signal Group Info'!G$6,1)&amp;"/",'3 - Signal Group Info'!G7&amp;"/"))&amp;IF('3 - Signal Group Info'!H7="","",IF('3 - Signal Group Info'!H7="w",LEFT('3 - Signal Group Info'!H$6,1)&amp;"/",'3 - Signal Group Info'!H7&amp;"/")),"")</f>
        <v/>
      </c>
      <c r="K2" s="87" t="str">
        <f>IF(LEN(J2)&gt;0,LEFT((J2),LEN(J2)-1),"")</f>
        <v/>
      </c>
      <c r="L2" s="87" t="str">
        <f t="shared" ref="L2:L16" si="0">IF(H2="","",LEFT(RIGHT(H2,LEN(H2)-FIND("(",H2)),LEN(RIGHT(H2,LEN(H2)-FIND("(",H2)))-1))</f>
        <v/>
      </c>
    </row>
    <row r="3" spans="1:12" x14ac:dyDescent="0.2">
      <c r="A3" s="87" t="s">
        <v>463</v>
      </c>
      <c r="B3" s="87">
        <v>24</v>
      </c>
      <c r="D3" s="87">
        <f>IF(ISNUMBER('3 - Signal Group Info'!A9),'3 - Signal Group Info'!A9,"")</f>
        <v>2</v>
      </c>
      <c r="E3" s="87" t="str">
        <f>IF(ISNUMBER(D3),IF('3 - Signal Group Info'!B9="","",'3 - Signal Group Info'!B9&amp;"/")&amp;IF('3 - Signal Group Info'!C9="","",'3 - Signal Group Info'!C9&amp;"/")&amp;IF('3 - Signal Group Info'!D9="","",'3 - Signal Group Info'!D9&amp;"/")&amp;IF('3 - Signal Group Info'!E9="","",'3 - Signal Group Info'!E9&amp;"/")&amp;IF('3 - Signal Group Info'!F9="","",'3 - Signal Group Info'!F9&amp;"/")&amp;IF('3 - Signal Group Info'!G9="","",'3 - Signal Group Info'!G9&amp;"/")&amp;IF('3 - Signal Group Info'!H9="","",'3 - Signal Group Info'!H9&amp;"/"),"")</f>
        <v>C/</v>
      </c>
      <c r="F3" s="87" t="str">
        <f t="shared" ref="F3:F17" si="1">IF(LEN(E3)&gt;0,LEFT((E3),LEN(E3)-1),"")</f>
        <v>C</v>
      </c>
      <c r="H3" s="87" t="str">
        <f>IF(ISNUMBER(SEARCH("p",'3 - Signal Group Info'!A9)),'3 - Signal Group Info'!A9,"")</f>
        <v/>
      </c>
      <c r="I3" s="87" t="str">
        <f t="shared" ref="I3:I17" si="2">LEFT(H3,2)</f>
        <v/>
      </c>
      <c r="J3" s="87" t="str">
        <f>IF(LEN(H3)&gt;0,IF('3 - Signal Group Info'!B9="","",IF('3 - Signal Group Info'!B9="w",LEFT('3 - Signal Group Info'!B$6,1)&amp;"/",'3 - Signal Group Info'!B9&amp;"/"))&amp;IF('3 - Signal Group Info'!C9="","",IF('3 - Signal Group Info'!C9="w",LEFT('3 - Signal Group Info'!C$6,1)&amp;"/",'3 - Signal Group Info'!C9&amp;"/"))&amp;IF('3 - Signal Group Info'!D9="","",IF('3 - Signal Group Info'!D9="w",LEFT('3 - Signal Group Info'!D$6,1)&amp;"/",'3 - Signal Group Info'!D9&amp;"/"))&amp;IF('3 - Signal Group Info'!E9="","",IF('3 - Signal Group Info'!E9="w",LEFT('3 - Signal Group Info'!E$6,1)&amp;"/",'3 - Signal Group Info'!E9&amp;"/"))&amp;IF('3 - Signal Group Info'!F9="","",IF('3 - Signal Group Info'!F9="w",LEFT('3 - Signal Group Info'!F$6,1)&amp;"/",'3 - Signal Group Info'!F9&amp;"/"))&amp;IF('3 - Signal Group Info'!G9="","",IF('3 - Signal Group Info'!G9="w",LEFT('3 - Signal Group Info'!G$6,1)&amp;"/",'3 - Signal Group Info'!G9&amp;"/"))&amp;IF('3 - Signal Group Info'!H9="","",IF('3 - Signal Group Info'!H9="w",LEFT('3 - Signal Group Info'!H$6,1)&amp;"/",'3 - Signal Group Info'!H9&amp;"/")),"")</f>
        <v/>
      </c>
      <c r="K3" s="87" t="str">
        <f t="shared" ref="K3:K17" si="3">IF(LEN(J3)&gt;0,LEFT((J3),LEN(J3)-1),"")</f>
        <v/>
      </c>
      <c r="L3" s="87" t="str">
        <f t="shared" si="0"/>
        <v/>
      </c>
    </row>
    <row r="4" spans="1:12" x14ac:dyDescent="0.2">
      <c r="A4" s="87" t="s">
        <v>464</v>
      </c>
      <c r="B4" s="87" t="s">
        <v>465</v>
      </c>
      <c r="D4" s="87">
        <f>IF(ISNUMBER('3 - Signal Group Info'!A11),'3 - Signal Group Info'!A11,"")</f>
        <v>3</v>
      </c>
      <c r="E4" s="87" t="str">
        <f>IF(ISNUMBER(D4),IF('3 - Signal Group Info'!B11="","",'3 - Signal Group Info'!B11&amp;"/")&amp;IF('3 - Signal Group Info'!C11="","",'3 - Signal Group Info'!C11&amp;"/")&amp;IF('3 - Signal Group Info'!D11="","",'3 - Signal Group Info'!D11&amp;"/")&amp;IF('3 - Signal Group Info'!E11="","",'3 - Signal Group Info'!E11&amp;"/")&amp;IF('3 - Signal Group Info'!F11="","",'3 - Signal Group Info'!F11&amp;"/")&amp;IF('3 - Signal Group Info'!G11="","",'3 - Signal Group Info'!G11&amp;"/")&amp;IF('3 - Signal Group Info'!H11="","",'3 - Signal Group Info'!H11&amp;"/"),"")</f>
        <v>B/</v>
      </c>
      <c r="F4" s="87" t="str">
        <f t="shared" si="1"/>
        <v>B</v>
      </c>
      <c r="H4" s="87" t="str">
        <f>IF(ISNUMBER(SEARCH("p",'3 - Signal Group Info'!A11)),'3 - Signal Group Info'!A11,"")</f>
        <v/>
      </c>
      <c r="I4" s="87" t="str">
        <f t="shared" si="2"/>
        <v/>
      </c>
      <c r="J4" s="87" t="str">
        <f>IF(LEN(H4)&gt;0,IF('3 - Signal Group Info'!B11="","",IF('3 - Signal Group Info'!B11="w",LEFT('3 - Signal Group Info'!B$6,1)&amp;"/",'3 - Signal Group Info'!B11&amp;"/"))&amp;IF('3 - Signal Group Info'!C11="","",IF('3 - Signal Group Info'!C11="w",LEFT('3 - Signal Group Info'!C$6,1)&amp;"/",'3 - Signal Group Info'!C11&amp;"/"))&amp;IF('3 - Signal Group Info'!D11="","",IF('3 - Signal Group Info'!D11="w",LEFT('3 - Signal Group Info'!D$6,1)&amp;"/",'3 - Signal Group Info'!D11&amp;"/"))&amp;IF('3 - Signal Group Info'!E11="","",IF('3 - Signal Group Info'!E11="w",LEFT('3 - Signal Group Info'!E$6,1)&amp;"/",'3 - Signal Group Info'!E11&amp;"/"))&amp;IF('3 - Signal Group Info'!F11="","",IF('3 - Signal Group Info'!F11="w",LEFT('3 - Signal Group Info'!F$6,1)&amp;"/",'3 - Signal Group Info'!F11&amp;"/"))&amp;IF('3 - Signal Group Info'!G11="","",IF('3 - Signal Group Info'!G11="w",LEFT('3 - Signal Group Info'!G$6,1)&amp;"/",'3 - Signal Group Info'!G11&amp;"/"))&amp;IF('3 - Signal Group Info'!H11="","",IF('3 - Signal Group Info'!H11="w",LEFT('3 - Signal Group Info'!H$6,1)&amp;"/",'3 - Signal Group Info'!H11&amp;"/")),"")</f>
        <v/>
      </c>
      <c r="K4" s="87" t="str">
        <f t="shared" si="3"/>
        <v/>
      </c>
      <c r="L4" s="87" t="str">
        <f t="shared" si="0"/>
        <v/>
      </c>
    </row>
    <row r="5" spans="1:12" x14ac:dyDescent="0.2">
      <c r="A5" s="87" t="s">
        <v>466</v>
      </c>
      <c r="B5" s="87">
        <v>32</v>
      </c>
      <c r="D5" s="87">
        <f>IF(ISNUMBER('3 - Signal Group Info'!A13),'3 - Signal Group Info'!A13,"")</f>
        <v>4</v>
      </c>
      <c r="E5" s="87" t="str">
        <f>IF(ISNUMBER(D5),IF('3 - Signal Group Info'!B13="","",'3 - Signal Group Info'!B13&amp;"/")&amp;IF('3 - Signal Group Info'!C13="","",'3 - Signal Group Info'!C13&amp;"/")&amp;IF('3 - Signal Group Info'!D13="","",'3 - Signal Group Info'!D13&amp;"/")&amp;IF('3 - Signal Group Info'!E13="","",'3 - Signal Group Info'!E13&amp;"/")&amp;IF('3 - Signal Group Info'!F13="","",'3 - Signal Group Info'!F13&amp;"/")&amp;IF('3 - Signal Group Info'!G13="","",'3 - Signal Group Info'!G13&amp;"/")&amp;IF('3 - Signal Group Info'!H13="","",'3 - Signal Group Info'!H13&amp;"/"),"")</f>
        <v>C/</v>
      </c>
      <c r="F5" s="87" t="str">
        <f t="shared" si="1"/>
        <v>C</v>
      </c>
      <c r="H5" s="87" t="str">
        <f>IF(ISNUMBER(SEARCH("p",'3 - Signal Group Info'!A13)),'3 - Signal Group Info'!A13,"")</f>
        <v/>
      </c>
      <c r="I5" s="87" t="str">
        <f t="shared" si="2"/>
        <v/>
      </c>
      <c r="J5" s="87" t="str">
        <f>IF(LEN(H5)&gt;0,IF('3 - Signal Group Info'!B13="","",IF('3 - Signal Group Info'!B13="w",LEFT('3 - Signal Group Info'!B$6,1)&amp;"/",'3 - Signal Group Info'!B13&amp;"/"))&amp;IF('3 - Signal Group Info'!C13="","",IF('3 - Signal Group Info'!C13="w",LEFT('3 - Signal Group Info'!C$6,1)&amp;"/",'3 - Signal Group Info'!C13&amp;"/"))&amp;IF('3 - Signal Group Info'!D13="","",IF('3 - Signal Group Info'!D13="w",LEFT('3 - Signal Group Info'!D$6,1)&amp;"/",'3 - Signal Group Info'!D13&amp;"/"))&amp;IF('3 - Signal Group Info'!E13="","",IF('3 - Signal Group Info'!E13="w",LEFT('3 - Signal Group Info'!E$6,1)&amp;"/",'3 - Signal Group Info'!E13&amp;"/"))&amp;IF('3 - Signal Group Info'!F13="","",IF('3 - Signal Group Info'!F13="w",LEFT('3 - Signal Group Info'!F$6,1)&amp;"/",'3 - Signal Group Info'!F13&amp;"/"))&amp;IF('3 - Signal Group Info'!G13="","",IF('3 - Signal Group Info'!G13="w",LEFT('3 - Signal Group Info'!G$6,1)&amp;"/",'3 - Signal Group Info'!G13&amp;"/"))&amp;IF('3 - Signal Group Info'!H13="","",IF('3 - Signal Group Info'!H13="w",LEFT('3 - Signal Group Info'!H$6,1)&amp;"/",'3 - Signal Group Info'!H13&amp;"/")),"")</f>
        <v/>
      </c>
      <c r="K5" s="87" t="str">
        <f t="shared" si="3"/>
        <v/>
      </c>
      <c r="L5" s="87" t="str">
        <f t="shared" si="0"/>
        <v/>
      </c>
    </row>
    <row r="6" spans="1:12" x14ac:dyDescent="0.2">
      <c r="D6" s="87">
        <f>IF(ISNUMBER('3 - Signal Group Info'!A15),'3 - Signal Group Info'!A15,"")</f>
        <v>5</v>
      </c>
      <c r="E6" s="87" t="str">
        <f>IF(ISNUMBER(D6),IF('3 - Signal Group Info'!B15="","",'3 - Signal Group Info'!B15&amp;"/")&amp;IF('3 - Signal Group Info'!C15="","",'3 - Signal Group Info'!C15&amp;"/")&amp;IF('3 - Signal Group Info'!D15="","",'3 - Signal Group Info'!D15&amp;"/")&amp;IF('3 - Signal Group Info'!E15="","",'3 - Signal Group Info'!E15&amp;"/")&amp;IF('3 - Signal Group Info'!F15="","",'3 - Signal Group Info'!F15&amp;"/")&amp;IF('3 - Signal Group Info'!G15="","",'3 - Signal Group Info'!G15&amp;"/")&amp;IF('3 - Signal Group Info'!H15="","",'3 - Signal Group Info'!H15&amp;"/"),"")</f>
        <v>A/D/</v>
      </c>
      <c r="F6" s="87" t="str">
        <f t="shared" si="1"/>
        <v>A/D</v>
      </c>
      <c r="H6" s="87" t="str">
        <f>IF(ISNUMBER(SEARCH("p",'3 - Signal Group Info'!A15)),'3 - Signal Group Info'!A15,"")</f>
        <v/>
      </c>
      <c r="I6" s="87" t="str">
        <f t="shared" si="2"/>
        <v/>
      </c>
      <c r="J6" s="87" t="str">
        <f>IF(LEN(H6)&gt;0,IF('3 - Signal Group Info'!B15="","",IF('3 - Signal Group Info'!B15="w",LEFT('3 - Signal Group Info'!B$6,1)&amp;"/",'3 - Signal Group Info'!B15&amp;"/"))&amp;IF('3 - Signal Group Info'!C15="","",IF('3 - Signal Group Info'!C15="w",LEFT('3 - Signal Group Info'!C$6,1)&amp;"/",'3 - Signal Group Info'!C15&amp;"/"))&amp;IF('3 - Signal Group Info'!D15="","",IF('3 - Signal Group Info'!D15="w",LEFT('3 - Signal Group Info'!D$6,1)&amp;"/",'3 - Signal Group Info'!D15&amp;"/"))&amp;IF('3 - Signal Group Info'!E15="","",IF('3 - Signal Group Info'!E15="w",LEFT('3 - Signal Group Info'!E$6,1)&amp;"/",'3 - Signal Group Info'!E15&amp;"/"))&amp;IF('3 - Signal Group Info'!F15="","",IF('3 - Signal Group Info'!F15="w",LEFT('3 - Signal Group Info'!F$6,1)&amp;"/",'3 - Signal Group Info'!F15&amp;"/"))&amp;IF('3 - Signal Group Info'!G15="","",IF('3 - Signal Group Info'!G15="w",LEFT('3 - Signal Group Info'!G$6,1)&amp;"/",'3 - Signal Group Info'!G15&amp;"/"))&amp;IF('3 - Signal Group Info'!H15="","",IF('3 - Signal Group Info'!H15="w",LEFT('3 - Signal Group Info'!H$6,1)&amp;"/",'3 - Signal Group Info'!H15&amp;"/")),"")</f>
        <v/>
      </c>
      <c r="K6" s="87" t="str">
        <f t="shared" si="3"/>
        <v/>
      </c>
      <c r="L6" s="87" t="str">
        <f t="shared" si="0"/>
        <v/>
      </c>
    </row>
    <row r="7" spans="1:12" x14ac:dyDescent="0.2">
      <c r="D7" s="87">
        <f>IF(ISNUMBER('3 - Signal Group Info'!A17),'3 - Signal Group Info'!A17,"")</f>
        <v>6</v>
      </c>
      <c r="E7" s="87" t="str">
        <f>IF(ISNUMBER(D7),IF('3 - Signal Group Info'!B17="","",'3 - Signal Group Info'!B17&amp;"/")&amp;IF('3 - Signal Group Info'!C17="","",'3 - Signal Group Info'!C17&amp;"/")&amp;IF('3 - Signal Group Info'!D17="","",'3 - Signal Group Info'!D17&amp;"/")&amp;IF('3 - Signal Group Info'!E17="","",'3 - Signal Group Info'!E17&amp;"/")&amp;IF('3 - Signal Group Info'!F17="","",'3 - Signal Group Info'!F17&amp;"/")&amp;IF('3 - Signal Group Info'!G17="","",'3 - Signal Group Info'!G17&amp;"/")&amp;IF('3 - Signal Group Info'!H17="","",'3 - Signal Group Info'!H17&amp;"/"),"")</f>
        <v>A/</v>
      </c>
      <c r="F7" s="87" t="str">
        <f t="shared" si="1"/>
        <v>A</v>
      </c>
      <c r="H7" s="87" t="str">
        <f>IF(ISNUMBER(SEARCH("p",'3 - Signal Group Info'!A17)),'3 - Signal Group Info'!A17,"")</f>
        <v/>
      </c>
      <c r="I7" s="87" t="str">
        <f t="shared" si="2"/>
        <v/>
      </c>
      <c r="J7" s="87" t="str">
        <f>IF(LEN(H7)&gt;0,IF('3 - Signal Group Info'!B17="","",IF('3 - Signal Group Info'!B17="w",LEFT('3 - Signal Group Info'!B$6,1)&amp;"/",'3 - Signal Group Info'!B17&amp;"/"))&amp;IF('3 - Signal Group Info'!C17="","",IF('3 - Signal Group Info'!C17="w",LEFT('3 - Signal Group Info'!C$6,1)&amp;"/",'3 - Signal Group Info'!C17&amp;"/"))&amp;IF('3 - Signal Group Info'!D17="","",IF('3 - Signal Group Info'!D17="w",LEFT('3 - Signal Group Info'!D$6,1)&amp;"/",'3 - Signal Group Info'!D17&amp;"/"))&amp;IF('3 - Signal Group Info'!E17="","",IF('3 - Signal Group Info'!E17="w",LEFT('3 - Signal Group Info'!E$6,1)&amp;"/",'3 - Signal Group Info'!E17&amp;"/"))&amp;IF('3 - Signal Group Info'!F17="","",IF('3 - Signal Group Info'!F17="w",LEFT('3 - Signal Group Info'!F$6,1)&amp;"/",'3 - Signal Group Info'!F17&amp;"/"))&amp;IF('3 - Signal Group Info'!G17="","",IF('3 - Signal Group Info'!G17="w",LEFT('3 - Signal Group Info'!G$6,1)&amp;"/",'3 - Signal Group Info'!G17&amp;"/"))&amp;IF('3 - Signal Group Info'!H17="","",IF('3 - Signal Group Info'!H17="w",LEFT('3 - Signal Group Info'!H$6,1)&amp;"/",'3 - Signal Group Info'!H17&amp;"/")),"")</f>
        <v/>
      </c>
      <c r="K7" s="87" t="str">
        <f t="shared" si="3"/>
        <v/>
      </c>
      <c r="L7" s="87" t="str">
        <f t="shared" si="0"/>
        <v/>
      </c>
    </row>
    <row r="8" spans="1:12" x14ac:dyDescent="0.2">
      <c r="D8" s="87">
        <f>IF(ISNUMBER('3 - Signal Group Info'!A19),'3 - Signal Group Info'!A19,"")</f>
        <v>7</v>
      </c>
      <c r="E8" s="87" t="str">
        <f>IF(ISNUMBER(D8),IF('3 - Signal Group Info'!B19="","",'3 - Signal Group Info'!B19&amp;"/")&amp;IF('3 - Signal Group Info'!C19="","",'3 - Signal Group Info'!C19&amp;"/")&amp;IF('3 - Signal Group Info'!D19="","",'3 - Signal Group Info'!D19&amp;"/")&amp;IF('3 - Signal Group Info'!E19="","",'3 - Signal Group Info'!E19&amp;"/")&amp;IF('3 - Signal Group Info'!F19="","",'3 - Signal Group Info'!F19&amp;"/")&amp;IF('3 - Signal Group Info'!G19="","",'3 - Signal Group Info'!G19&amp;"/")&amp;IF('3 - Signal Group Info'!H19="","",'3 - Signal Group Info'!H19&amp;"/"),"")</f>
        <v>D/</v>
      </c>
      <c r="F8" s="87" t="str">
        <f t="shared" si="1"/>
        <v>D</v>
      </c>
      <c r="H8" s="87" t="str">
        <f>IF(ISNUMBER(SEARCH("p",'3 - Signal Group Info'!A19)),'3 - Signal Group Info'!A19,"")</f>
        <v/>
      </c>
      <c r="I8" s="87" t="str">
        <f t="shared" si="2"/>
        <v/>
      </c>
      <c r="J8" s="87" t="str">
        <f>IF(LEN(H8)&gt;0,IF('3 - Signal Group Info'!B19="","",IF('3 - Signal Group Info'!B19="w",LEFT('3 - Signal Group Info'!B$6,1)&amp;"/",'3 - Signal Group Info'!B19&amp;"/"))&amp;IF('3 - Signal Group Info'!C19="","",IF('3 - Signal Group Info'!C19="w",LEFT('3 - Signal Group Info'!C$6,1)&amp;"/",'3 - Signal Group Info'!C19&amp;"/"))&amp;IF('3 - Signal Group Info'!D19="","",IF('3 - Signal Group Info'!D19="w",LEFT('3 - Signal Group Info'!D$6,1)&amp;"/",'3 - Signal Group Info'!D19&amp;"/"))&amp;IF('3 - Signal Group Info'!E19="","",IF('3 - Signal Group Info'!E19="w",LEFT('3 - Signal Group Info'!E$6,1)&amp;"/",'3 - Signal Group Info'!E19&amp;"/"))&amp;IF('3 - Signal Group Info'!F19="","",IF('3 - Signal Group Info'!F19="w",LEFT('3 - Signal Group Info'!F$6,1)&amp;"/",'3 - Signal Group Info'!F19&amp;"/"))&amp;IF('3 - Signal Group Info'!G19="","",IF('3 - Signal Group Info'!G19="w",LEFT('3 - Signal Group Info'!G$6,1)&amp;"/",'3 - Signal Group Info'!G19&amp;"/"))&amp;IF('3 - Signal Group Info'!H19="","",IF('3 - Signal Group Info'!H19="w",LEFT('3 - Signal Group Info'!H$6,1)&amp;"/",'3 - Signal Group Info'!H19&amp;"/")),"")</f>
        <v/>
      </c>
      <c r="K8" s="87" t="str">
        <f t="shared" si="3"/>
        <v/>
      </c>
      <c r="L8" s="87" t="str">
        <f t="shared" si="0"/>
        <v/>
      </c>
    </row>
    <row r="9" spans="1:12" x14ac:dyDescent="0.2">
      <c r="D9" s="87">
        <f>IF(ISNUMBER('3 - Signal Group Info'!A21),'3 - Signal Group Info'!A21,"")</f>
        <v>8</v>
      </c>
      <c r="E9" s="87" t="str">
        <f>IF(ISNUMBER(D9),IF('3 - Signal Group Info'!B21="","",'3 - Signal Group Info'!B21&amp;"/")&amp;IF('3 - Signal Group Info'!C21="","",'3 - Signal Group Info'!C21&amp;"/")&amp;IF('3 - Signal Group Info'!D21="","",'3 - Signal Group Info'!D21&amp;"/")&amp;IF('3 - Signal Group Info'!E21="","",'3 - Signal Group Info'!E21&amp;"/")&amp;IF('3 - Signal Group Info'!F21="","",'3 - Signal Group Info'!F21&amp;"/")&amp;IF('3 - Signal Group Info'!G21="","",'3 - Signal Group Info'!G21&amp;"/")&amp;IF('3 - Signal Group Info'!H21="","",'3 - Signal Group Info'!H21&amp;"/"),"")</f>
        <v>A/</v>
      </c>
      <c r="F9" s="87" t="str">
        <f t="shared" si="1"/>
        <v>A</v>
      </c>
      <c r="H9" s="87" t="str">
        <f>IF(ISNUMBER(SEARCH("p",'3 - Signal Group Info'!A21)),'3 - Signal Group Info'!A21,"")</f>
        <v/>
      </c>
      <c r="I9" s="87" t="str">
        <f t="shared" si="2"/>
        <v/>
      </c>
      <c r="J9" s="87" t="str">
        <f>IF(LEN(H9)&gt;0,IF('3 - Signal Group Info'!B21="","",IF('3 - Signal Group Info'!B21="w",LEFT('3 - Signal Group Info'!B$6,1)&amp;"/",'3 - Signal Group Info'!B21&amp;"/"))&amp;IF('3 - Signal Group Info'!C21="","",IF('3 - Signal Group Info'!C21="w",LEFT('3 - Signal Group Info'!C$6,1)&amp;"/",'3 - Signal Group Info'!C21&amp;"/"))&amp;IF('3 - Signal Group Info'!D21="","",IF('3 - Signal Group Info'!D21="w",LEFT('3 - Signal Group Info'!D$6,1)&amp;"/",'3 - Signal Group Info'!D21&amp;"/"))&amp;IF('3 - Signal Group Info'!E21="","",IF('3 - Signal Group Info'!E21="w",LEFT('3 - Signal Group Info'!E$6,1)&amp;"/",'3 - Signal Group Info'!E21&amp;"/"))&amp;IF('3 - Signal Group Info'!F21="","",IF('3 - Signal Group Info'!F21="w",LEFT('3 - Signal Group Info'!F$6,1)&amp;"/",'3 - Signal Group Info'!F21&amp;"/"))&amp;IF('3 - Signal Group Info'!G21="","",IF('3 - Signal Group Info'!G21="w",LEFT('3 - Signal Group Info'!G$6,1)&amp;"/",'3 - Signal Group Info'!G21&amp;"/"))&amp;IF('3 - Signal Group Info'!H21="","",IF('3 - Signal Group Info'!H21="w",LEFT('3 - Signal Group Info'!H$6,1)&amp;"/",'3 - Signal Group Info'!H21&amp;"/")),"")</f>
        <v/>
      </c>
      <c r="K9" s="87" t="str">
        <f t="shared" si="3"/>
        <v/>
      </c>
      <c r="L9" s="87" t="str">
        <f t="shared" si="0"/>
        <v/>
      </c>
    </row>
    <row r="10" spans="1:12" x14ac:dyDescent="0.2">
      <c r="D10" s="87">
        <f>IF(ISNUMBER('3 - Signal Group Info'!J7),'3 - Signal Group Info'!J7,"")</f>
        <v>9</v>
      </c>
      <c r="E10" s="87" t="str">
        <f>IF(ISNUMBER(D10),IF('3 - Signal Group Info'!K7="","",'3 - Signal Group Info'!K7&amp;"/")&amp;IF('3 - Signal Group Info'!L7="","",'3 - Signal Group Info'!L7&amp;"/")&amp;IF('3 - Signal Group Info'!M7="","",'3 - Signal Group Info'!M7&amp;"/")&amp;IF('3 - Signal Group Info'!N7="","",'3 - Signal Group Info'!N7&amp;"/")&amp;IF('3 - Signal Group Info'!O7="","",'3 - Signal Group Info'!O7&amp;"/")&amp;IF('3 - Signal Group Info'!P7="","",'3 - Signal Group Info'!P7&amp;"/")&amp;IF('3 - Signal Group Info'!Q7="","",'3 - Signal Group Info'!Q7&amp;"/"),"")</f>
        <v>B/C/D/</v>
      </c>
      <c r="F10" s="87" t="str">
        <f t="shared" si="1"/>
        <v>B/C/D</v>
      </c>
      <c r="H10" s="87" t="str">
        <f>IF(ISNUMBER(SEARCH("p",'3 - Signal Group Info'!J7)),'3 - Signal Group Info'!J7,"")</f>
        <v/>
      </c>
      <c r="I10" s="87" t="str">
        <f t="shared" si="2"/>
        <v/>
      </c>
      <c r="J10" s="87" t="str">
        <f>IF(LEN(H10)&gt;0,IF('3 - Signal Group Info'!K7="","",IF('3 - Signal Group Info'!K7="w",LEFT('3 - Signal Group Info'!K$6,1)&amp;"/",'3 - Signal Group Info'!K7&amp;"/"))&amp;IF('3 - Signal Group Info'!L7="","",IF('3 - Signal Group Info'!L7="w",LEFT('3 - Signal Group Info'!L$6,1)&amp;"/",'3 - Signal Group Info'!L7&amp;"/"))&amp;IF('3 - Signal Group Info'!M7="","",IF('3 - Signal Group Info'!M7="w",LEFT('3 - Signal Group Info'!M$6,1)&amp;"/",'3 - Signal Group Info'!M7&amp;"/"))&amp;IF('3 - Signal Group Info'!N7="","",IF('3 - Signal Group Info'!N7="w",LEFT('3 - Signal Group Info'!N$6,1)&amp;"/",'3 - Signal Group Info'!N7&amp;"/"))&amp;IF('3 - Signal Group Info'!O7="","",IF('3 - Signal Group Info'!O7="w",LEFT('3 - Signal Group Info'!O$6,1)&amp;"/",'3 - Signal Group Info'!O7&amp;"/"))&amp;IF('3 - Signal Group Info'!P7="","",IF('3 - Signal Group Info'!P7="w",LEFT('3 - Signal Group Info'!P$6,1)&amp;"/",'3 - Signal Group Info'!P7&amp;"/"))&amp;IF('3 - Signal Group Info'!Q7="","",IF('3 - Signal Group Info'!Q7="w",LEFT('3 - Signal Group Info'!Q$6,1)&amp;"/",'3 - Signal Group Info'!Q7&amp;"/")),"")</f>
        <v/>
      </c>
      <c r="K10" s="87" t="str">
        <f t="shared" si="3"/>
        <v/>
      </c>
      <c r="L10" s="87" t="str">
        <f t="shared" si="0"/>
        <v/>
      </c>
    </row>
    <row r="11" spans="1:12" x14ac:dyDescent="0.2">
      <c r="D11" s="87">
        <f>IF(ISNUMBER('3 - Signal Group Info'!J9),'3 - Signal Group Info'!J9,"")</f>
        <v>10</v>
      </c>
      <c r="E11" s="87" t="str">
        <f>IF(ISNUMBER(D11),IF('3 - Signal Group Info'!K9="","",'3 - Signal Group Info'!K9&amp;"/")&amp;IF('3 - Signal Group Info'!L9="","",'3 - Signal Group Info'!L9&amp;"/")&amp;IF('3 - Signal Group Info'!M9="","",'3 - Signal Group Info'!M9&amp;"/")&amp;IF('3 - Signal Group Info'!N9="","",'3 - Signal Group Info'!N9&amp;"/")&amp;IF('3 - Signal Group Info'!O9="","",'3 - Signal Group Info'!O9&amp;"/")&amp;IF('3 - Signal Group Info'!P9="","",'3 - Signal Group Info'!P9&amp;"/")&amp;IF('3 - Signal Group Info'!Q9="","",'3 - Signal Group Info'!Q9&amp;"/"),"")</f>
        <v>C/</v>
      </c>
      <c r="F11" s="87" t="str">
        <f t="shared" si="1"/>
        <v>C</v>
      </c>
      <c r="H11" s="87" t="str">
        <f>IF(ISNUMBER(SEARCH("p",'3 - Signal Group Info'!J9)),'3 - Signal Group Info'!J9,"")</f>
        <v/>
      </c>
      <c r="I11" s="87" t="str">
        <f t="shared" si="2"/>
        <v/>
      </c>
      <c r="J11" s="87" t="str">
        <f>IF(LEN(H11)&gt;0,IF('3 - Signal Group Info'!K9="","",IF('3 - Signal Group Info'!K9="w",LEFT('3 - Signal Group Info'!K$6,1)&amp;"/",'3 - Signal Group Info'!K9&amp;"/"))&amp;IF('3 - Signal Group Info'!L9="","",IF('3 - Signal Group Info'!L9="w",LEFT('3 - Signal Group Info'!L$6,1)&amp;"/",'3 - Signal Group Info'!L9&amp;"/"))&amp;IF('3 - Signal Group Info'!M9="","",IF('3 - Signal Group Info'!M9="w",LEFT('3 - Signal Group Info'!M$6,1)&amp;"/",'3 - Signal Group Info'!M9&amp;"/"))&amp;IF('3 - Signal Group Info'!N9="","",IF('3 - Signal Group Info'!N9="w",LEFT('3 - Signal Group Info'!N$6,1)&amp;"/",'3 - Signal Group Info'!N9&amp;"/"))&amp;IF('3 - Signal Group Info'!O9="","",IF('3 - Signal Group Info'!O9="w",LEFT('3 - Signal Group Info'!O$6,1)&amp;"/",'3 - Signal Group Info'!O9&amp;"/"))&amp;IF('3 - Signal Group Info'!P9="","",IF('3 - Signal Group Info'!P9="w",LEFT('3 - Signal Group Info'!P$6,1)&amp;"/",'3 - Signal Group Info'!P9&amp;"/"))&amp;IF('3 - Signal Group Info'!Q9="","",IF('3 - Signal Group Info'!Q9="w",LEFT('3 - Signal Group Info'!Q$6,1)&amp;"/",'3 - Signal Group Info'!Q9&amp;"/")),"")</f>
        <v/>
      </c>
      <c r="K11" s="87" t="str">
        <f t="shared" si="3"/>
        <v/>
      </c>
      <c r="L11" s="87" t="str">
        <f t="shared" si="0"/>
        <v/>
      </c>
    </row>
    <row r="12" spans="1:12" x14ac:dyDescent="0.2">
      <c r="D12" s="87">
        <f>IF(ISNUMBER('3 - Signal Group Info'!J11),'3 - Signal Group Info'!J11,"")</f>
        <v>11</v>
      </c>
      <c r="E12" s="87" t="str">
        <f>IF(ISNUMBER(D12),IF('3 - Signal Group Info'!K11="","",'3 - Signal Group Info'!K11&amp;"/")&amp;IF('3 - Signal Group Info'!L11="","",'3 - Signal Group Info'!L11&amp;"/")&amp;IF('3 - Signal Group Info'!M11="","",'3 - Signal Group Info'!M11&amp;"/")&amp;IF('3 - Signal Group Info'!N11="","",'3 - Signal Group Info'!N11&amp;"/")&amp;IF('3 - Signal Group Info'!O11="","",'3 - Signal Group Info'!O11&amp;"/")&amp;IF('3 - Signal Group Info'!P11="","",'3 - Signal Group Info'!P11&amp;"/")&amp;IF('3 - Signal Group Info'!Q11="","",'3 - Signal Group Info'!Q11&amp;"/"),"")</f>
        <v>A/D/</v>
      </c>
      <c r="F12" s="87" t="str">
        <f t="shared" si="1"/>
        <v>A/D</v>
      </c>
      <c r="H12" s="87" t="str">
        <f>IF(ISNUMBER(SEARCH("p",'3 - Signal Group Info'!J11)),'3 - Signal Group Info'!J11,"")</f>
        <v/>
      </c>
      <c r="I12" s="87" t="str">
        <f t="shared" si="2"/>
        <v/>
      </c>
      <c r="J12" s="87" t="str">
        <f>IF(LEN(H12)&gt;0,IF('3 - Signal Group Info'!K11="","",IF('3 - Signal Group Info'!K11="w",LEFT('3 - Signal Group Info'!K$6,1)&amp;"/",'3 - Signal Group Info'!K11&amp;"/"))&amp;IF('3 - Signal Group Info'!L11="","",IF('3 - Signal Group Info'!L11="w",LEFT('3 - Signal Group Info'!L$6,1)&amp;"/",'3 - Signal Group Info'!L11&amp;"/"))&amp;IF('3 - Signal Group Info'!M11="","",IF('3 - Signal Group Info'!M11="w",LEFT('3 - Signal Group Info'!M$6,1)&amp;"/",'3 - Signal Group Info'!M11&amp;"/"))&amp;IF('3 - Signal Group Info'!N11="","",IF('3 - Signal Group Info'!N11="w",LEFT('3 - Signal Group Info'!N$6,1)&amp;"/",'3 - Signal Group Info'!N11&amp;"/"))&amp;IF('3 - Signal Group Info'!O11="","",IF('3 - Signal Group Info'!O11="w",LEFT('3 - Signal Group Info'!O$6,1)&amp;"/",'3 - Signal Group Info'!O11&amp;"/"))&amp;IF('3 - Signal Group Info'!P11="","",IF('3 - Signal Group Info'!P11="w",LEFT('3 - Signal Group Info'!P$6,1)&amp;"/",'3 - Signal Group Info'!P11&amp;"/"))&amp;IF('3 - Signal Group Info'!Q11="","",IF('3 - Signal Group Info'!Q11="w",LEFT('3 - Signal Group Info'!Q$6,1)&amp;"/",'3 - Signal Group Info'!Q11&amp;"/")),"")</f>
        <v/>
      </c>
      <c r="K12" s="87" t="str">
        <f t="shared" si="3"/>
        <v/>
      </c>
      <c r="L12" s="87" t="str">
        <f t="shared" si="0"/>
        <v/>
      </c>
    </row>
    <row r="13" spans="1:12" x14ac:dyDescent="0.2">
      <c r="D13" s="87">
        <f>IF(ISNUMBER('3 - Signal Group Info'!J13),'3 - Signal Group Info'!J13,"")</f>
        <v>12</v>
      </c>
      <c r="E13" s="87" t="str">
        <f>IF(ISNUMBER(D13),IF('3 - Signal Group Info'!K13="","",'3 - Signal Group Info'!K13&amp;"/")&amp;IF('3 - Signal Group Info'!L13="","",'3 - Signal Group Info'!L13&amp;"/")&amp;IF('3 - Signal Group Info'!M13="","",'3 - Signal Group Info'!M13&amp;"/")&amp;IF('3 - Signal Group Info'!N13="","",'3 - Signal Group Info'!N13&amp;"/")&amp;IF('3 - Signal Group Info'!O13="","",'3 - Signal Group Info'!O13&amp;"/")&amp;IF('3 - Signal Group Info'!P13="","",'3 - Signal Group Info'!P13&amp;"/")&amp;IF('3 - Signal Group Info'!Q13="","",'3 - Signal Group Info'!Q13&amp;"/"),"")</f>
        <v>A/B/</v>
      </c>
      <c r="F13" s="87" t="str">
        <f t="shared" si="1"/>
        <v>A/B</v>
      </c>
      <c r="H13" s="87" t="str">
        <f>IF(ISNUMBER(SEARCH("p",'3 - Signal Group Info'!J13)),'3 - Signal Group Info'!J13,"")</f>
        <v/>
      </c>
      <c r="I13" s="87" t="str">
        <f t="shared" si="2"/>
        <v/>
      </c>
      <c r="J13" s="87" t="str">
        <f>IF(LEN(H13)&gt;0,IF('3 - Signal Group Info'!K13="","",IF('3 - Signal Group Info'!K13="w",LEFT('3 - Signal Group Info'!K$6,1)&amp;"/",'3 - Signal Group Info'!K13&amp;"/"))&amp;IF('3 - Signal Group Info'!L13="","",IF('3 - Signal Group Info'!L13="w",LEFT('3 - Signal Group Info'!L$6,1)&amp;"/",'3 - Signal Group Info'!L13&amp;"/"))&amp;IF('3 - Signal Group Info'!M13="","",IF('3 - Signal Group Info'!M13="w",LEFT('3 - Signal Group Info'!M$6,1)&amp;"/",'3 - Signal Group Info'!M13&amp;"/"))&amp;IF('3 - Signal Group Info'!N13="","",IF('3 - Signal Group Info'!N13="w",LEFT('3 - Signal Group Info'!N$6,1)&amp;"/",'3 - Signal Group Info'!N13&amp;"/"))&amp;IF('3 - Signal Group Info'!O13="","",IF('3 - Signal Group Info'!O13="w",LEFT('3 - Signal Group Info'!O$6,1)&amp;"/",'3 - Signal Group Info'!O13&amp;"/"))&amp;IF('3 - Signal Group Info'!P13="","",IF('3 - Signal Group Info'!P13="w",LEFT('3 - Signal Group Info'!P$6,1)&amp;"/",'3 - Signal Group Info'!P13&amp;"/"))&amp;IF('3 - Signal Group Info'!Q13="","",IF('3 - Signal Group Info'!Q13="w",LEFT('3 - Signal Group Info'!Q$6,1)&amp;"/",'3 - Signal Group Info'!Q13&amp;"/")),"")</f>
        <v/>
      </c>
      <c r="K13" s="87" t="str">
        <f t="shared" si="3"/>
        <v/>
      </c>
      <c r="L13" s="87" t="str">
        <f t="shared" si="0"/>
        <v/>
      </c>
    </row>
    <row r="14" spans="1:12" x14ac:dyDescent="0.2">
      <c r="D14" s="87" t="str">
        <f>IF(ISNUMBER('3 - Signal Group Info'!J15),'3 - Signal Group Info'!J15,"")</f>
        <v/>
      </c>
      <c r="E14" s="87" t="str">
        <f>IF(ISNUMBER(D14),IF('3 - Signal Group Info'!K15="","",'3 - Signal Group Info'!K15&amp;"/")&amp;IF('3 - Signal Group Info'!L15="","",'3 - Signal Group Info'!L15&amp;"/")&amp;IF('3 - Signal Group Info'!M15="","",'3 - Signal Group Info'!M15&amp;"/")&amp;IF('3 - Signal Group Info'!N15="","",'3 - Signal Group Info'!N15&amp;"/")&amp;IF('3 - Signal Group Info'!O15="","",'3 - Signal Group Info'!O15&amp;"/")&amp;IF('3 - Signal Group Info'!P15="","",'3 - Signal Group Info'!P15&amp;"/")&amp;IF('3 - Signal Group Info'!Q15="","",'3 - Signal Group Info'!Q15&amp;"/"),"")</f>
        <v/>
      </c>
      <c r="F14" s="87" t="str">
        <f t="shared" si="1"/>
        <v/>
      </c>
      <c r="H14" s="87" t="str">
        <f>IF(ISNUMBER(SEARCH("p",'3 - Signal Group Info'!J15)),'3 - Signal Group Info'!J15,"")</f>
        <v>P4(13)</v>
      </c>
      <c r="I14" s="87" t="str">
        <f t="shared" si="2"/>
        <v>P4</v>
      </c>
      <c r="J14" s="87" t="str">
        <f>IF(LEN(H14)&gt;0,IF('3 - Signal Group Info'!K15="","",IF('3 - Signal Group Info'!K15="w",LEFT('3 - Signal Group Info'!K$6,1)&amp;"/",'3 - Signal Group Info'!K15&amp;"/"))&amp;IF('3 - Signal Group Info'!L15="","",IF('3 - Signal Group Info'!L15="w",LEFT('3 - Signal Group Info'!L$6,1)&amp;"/",'3 - Signal Group Info'!L15&amp;"/"))&amp;IF('3 - Signal Group Info'!M15="","",IF('3 - Signal Group Info'!M15="w",LEFT('3 - Signal Group Info'!M$6,1)&amp;"/",'3 - Signal Group Info'!M15&amp;"/"))&amp;IF('3 - Signal Group Info'!N15="","",IF('3 - Signal Group Info'!N15="w",LEFT('3 - Signal Group Info'!N$6,1)&amp;"/",'3 - Signal Group Info'!N15&amp;"/"))&amp;IF('3 - Signal Group Info'!O15="","",IF('3 - Signal Group Info'!O15="w",LEFT('3 - Signal Group Info'!O$6,1)&amp;"/",'3 - Signal Group Info'!O15&amp;"/"))&amp;IF('3 - Signal Group Info'!P15="","",IF('3 - Signal Group Info'!P15="w",LEFT('3 - Signal Group Info'!P$6,1)&amp;"/",'3 - Signal Group Info'!P15&amp;"/"))&amp;IF('3 - Signal Group Info'!Q15="","",IF('3 - Signal Group Info'!Q15="w",LEFT('3 - Signal Group Info'!Q$6,1)&amp;"/",'3 - Signal Group Info'!Q15&amp;"/")),"")</f>
        <v>A/D/</v>
      </c>
      <c r="K14" s="87" t="str">
        <f t="shared" si="3"/>
        <v>A/D</v>
      </c>
      <c r="L14" s="87" t="str">
        <f t="shared" si="0"/>
        <v>13</v>
      </c>
    </row>
    <row r="15" spans="1:12" x14ac:dyDescent="0.2">
      <c r="D15" s="87" t="str">
        <f>IF(ISNUMBER('3 - Signal Group Info'!J17),'3 - Signal Group Info'!J17,"")</f>
        <v/>
      </c>
      <c r="E15" s="87" t="str">
        <f>IF(ISNUMBER(D15),IF('3 - Signal Group Info'!K17="","",'3 - Signal Group Info'!K17&amp;"/")&amp;IF('3 - Signal Group Info'!L17="","",'3 - Signal Group Info'!L17&amp;"/")&amp;IF('3 - Signal Group Info'!M17="","",'3 - Signal Group Info'!M17&amp;"/")&amp;IF('3 - Signal Group Info'!N17="","",'3 - Signal Group Info'!N17&amp;"/")&amp;IF('3 - Signal Group Info'!O17="","",'3 - Signal Group Info'!O17&amp;"/")&amp;IF('3 - Signal Group Info'!P17="","",'3 - Signal Group Info'!P17&amp;"/")&amp;IF('3 - Signal Group Info'!Q17="","",'3 - Signal Group Info'!Q17&amp;"/"),"")</f>
        <v/>
      </c>
      <c r="F15" s="87" t="str">
        <f t="shared" si="1"/>
        <v/>
      </c>
      <c r="H15" s="87" t="str">
        <f>IF(ISNUMBER(SEARCH("p",'3 - Signal Group Info'!J17)),'3 - Signal Group Info'!J17,"")</f>
        <v>P3(14)</v>
      </c>
      <c r="I15" s="87" t="str">
        <f t="shared" si="2"/>
        <v>P3</v>
      </c>
      <c r="J15" s="87" t="str">
        <f>IF(LEN(H15)&gt;0,IF('3 - Signal Group Info'!K17="","",IF('3 - Signal Group Info'!K17="w",LEFT('3 - Signal Group Info'!K$6,1)&amp;"/",'3 - Signal Group Info'!K17&amp;"/"))&amp;IF('3 - Signal Group Info'!L17="","",IF('3 - Signal Group Info'!L17="w",LEFT('3 - Signal Group Info'!L$6,1)&amp;"/",'3 - Signal Group Info'!L17&amp;"/"))&amp;IF('3 - Signal Group Info'!M17="","",IF('3 - Signal Group Info'!M17="w",LEFT('3 - Signal Group Info'!M$6,1)&amp;"/",'3 - Signal Group Info'!M17&amp;"/"))&amp;IF('3 - Signal Group Info'!N17="","",IF('3 - Signal Group Info'!N17="w",LEFT('3 - Signal Group Info'!N$6,1)&amp;"/",'3 - Signal Group Info'!N17&amp;"/"))&amp;IF('3 - Signal Group Info'!O17="","",IF('3 - Signal Group Info'!O17="w",LEFT('3 - Signal Group Info'!O$6,1)&amp;"/",'3 - Signal Group Info'!O17&amp;"/"))&amp;IF('3 - Signal Group Info'!P17="","",IF('3 - Signal Group Info'!P17="w",LEFT('3 - Signal Group Info'!P$6,1)&amp;"/",'3 - Signal Group Info'!P17&amp;"/"))&amp;IF('3 - Signal Group Info'!Q17="","",IF('3 - Signal Group Info'!Q17="w",LEFT('3 - Signal Group Info'!Q$6,1)&amp;"/",'3 - Signal Group Info'!Q17&amp;"/")),"")</f>
        <v>A/</v>
      </c>
      <c r="K15" s="87" t="str">
        <f t="shared" si="3"/>
        <v>A</v>
      </c>
      <c r="L15" s="87" t="str">
        <f t="shared" si="0"/>
        <v>14</v>
      </c>
    </row>
    <row r="16" spans="1:12" x14ac:dyDescent="0.2">
      <c r="D16" s="87" t="str">
        <f>IF(ISNUMBER('3 - Signal Group Info'!J19),'3 - Signal Group Info'!J19,"")</f>
        <v/>
      </c>
      <c r="E16" s="87" t="str">
        <f>IF(ISNUMBER(D16),IF('3 - Signal Group Info'!K19="","",'3 - Signal Group Info'!K19&amp;"/")&amp;IF('3 - Signal Group Info'!L19="","",'3 - Signal Group Info'!L19&amp;"/")&amp;IF('3 - Signal Group Info'!M19="","",'3 - Signal Group Info'!M19&amp;"/")&amp;IF('3 - Signal Group Info'!N19="","",'3 - Signal Group Info'!N19&amp;"/")&amp;IF('3 - Signal Group Info'!O19="","",'3 - Signal Group Info'!O19&amp;"/")&amp;IF('3 - Signal Group Info'!P19="","",'3 - Signal Group Info'!P19&amp;"/")&amp;IF('3 - Signal Group Info'!Q19="","",'3 - Signal Group Info'!Q19&amp;"/"),"")</f>
        <v/>
      </c>
      <c r="F16" s="87" t="str">
        <f t="shared" si="1"/>
        <v/>
      </c>
      <c r="H16" s="87" t="str">
        <f>IF(ISNUMBER(SEARCH("p",'3 - Signal Group Info'!J19)),'3 - Signal Group Info'!J19,"")</f>
        <v>P2(15)</v>
      </c>
      <c r="I16" s="87" t="str">
        <f t="shared" si="2"/>
        <v>P2</v>
      </c>
      <c r="J16" s="87" t="str">
        <f>IF(LEN(H16)&gt;0,IF('3 - Signal Group Info'!K19="","",IF('3 - Signal Group Info'!K19="w",LEFT('3 - Signal Group Info'!K$6,1)&amp;"/",'3 - Signal Group Info'!K19&amp;"/"))&amp;IF('3 - Signal Group Info'!L19="","",IF('3 - Signal Group Info'!L19="w",LEFT('3 - Signal Group Info'!L$6,1)&amp;"/",'3 - Signal Group Info'!L19&amp;"/"))&amp;IF('3 - Signal Group Info'!M19="","",IF('3 - Signal Group Info'!M19="w",LEFT('3 - Signal Group Info'!M$6,1)&amp;"/",'3 - Signal Group Info'!M19&amp;"/"))&amp;IF('3 - Signal Group Info'!N19="","",IF('3 - Signal Group Info'!N19="w",LEFT('3 - Signal Group Info'!N$6,1)&amp;"/",'3 - Signal Group Info'!N19&amp;"/"))&amp;IF('3 - Signal Group Info'!O19="","",IF('3 - Signal Group Info'!O19="w",LEFT('3 - Signal Group Info'!O$6,1)&amp;"/",'3 - Signal Group Info'!O19&amp;"/"))&amp;IF('3 - Signal Group Info'!P19="","",IF('3 - Signal Group Info'!P19="w",LEFT('3 - Signal Group Info'!P$6,1)&amp;"/",'3 - Signal Group Info'!P19&amp;"/"))&amp;IF('3 - Signal Group Info'!Q19="","",IF('3 - Signal Group Info'!Q19="w",LEFT('3 - Signal Group Info'!Q$6,1)&amp;"/",'3 - Signal Group Info'!Q19&amp;"/")),"")</f>
        <v>C/</v>
      </c>
      <c r="K16" s="87" t="str">
        <f t="shared" si="3"/>
        <v>C</v>
      </c>
      <c r="L16" s="87" t="str">
        <f t="shared" si="0"/>
        <v>15</v>
      </c>
    </row>
    <row r="17" spans="4:12" x14ac:dyDescent="0.2">
      <c r="D17" s="87" t="str">
        <f>IF(ISNUMBER('3 - Signal Group Info'!J21),'3 - Signal Group Info'!J21,"")</f>
        <v/>
      </c>
      <c r="E17" s="87" t="str">
        <f>IF(ISNUMBER(D17),IF('3 - Signal Group Info'!K21="","",'3 - Signal Group Info'!K21&amp;"/")&amp;IF('3 - Signal Group Info'!L21="","",'3 - Signal Group Info'!L21&amp;"/")&amp;IF('3 - Signal Group Info'!M21="","",'3 - Signal Group Info'!M21&amp;"/")&amp;IF('3 - Signal Group Info'!N21="","",'3 - Signal Group Info'!N21&amp;"/")&amp;IF('3 - Signal Group Info'!O21="","",'3 - Signal Group Info'!O21&amp;"/")&amp;IF('3 - Signal Group Info'!P21="","",'3 - Signal Group Info'!P21&amp;"/")&amp;IF('3 - Signal Group Info'!Q21="","",'3 - Signal Group Info'!Q21&amp;"/"),"")</f>
        <v/>
      </c>
      <c r="F17" s="87" t="str">
        <f t="shared" si="1"/>
        <v/>
      </c>
      <c r="H17" s="87" t="str">
        <f>IF(ISNUMBER(SEARCH("p",'3 - Signal Group Info'!J21)),'3 - Signal Group Info'!J21,"")</f>
        <v>P1(16)</v>
      </c>
      <c r="I17" s="87" t="str">
        <f t="shared" si="2"/>
        <v>P1</v>
      </c>
      <c r="J17" s="87" t="str">
        <f>IF(LEN(H17)&gt;0,IF('3 - Signal Group Info'!K21="","",IF('3 - Signal Group Info'!K21="w",LEFT('3 - Signal Group Info'!K$6,1)&amp;"/",'3 - Signal Group Info'!K21&amp;"/"))&amp;IF('3 - Signal Group Info'!L21="","",IF('3 - Signal Group Info'!L21="w",LEFT('3 - Signal Group Info'!L$6,1)&amp;"/",'3 - Signal Group Info'!L21&amp;"/"))&amp;IF('3 - Signal Group Info'!M21="","",IF('3 - Signal Group Info'!M21="w",LEFT('3 - Signal Group Info'!M$6,1)&amp;"/",'3 - Signal Group Info'!M21&amp;"/"))&amp;IF('3 - Signal Group Info'!N21="","",IF('3 - Signal Group Info'!N21="w",LEFT('3 - Signal Group Info'!N$6,1)&amp;"/",'3 - Signal Group Info'!N21&amp;"/"))&amp;IF('3 - Signal Group Info'!O21="","",IF('3 - Signal Group Info'!O21="w",LEFT('3 - Signal Group Info'!O$6,1)&amp;"/",'3 - Signal Group Info'!O21&amp;"/"))&amp;IF('3 - Signal Group Info'!P21="","",IF('3 - Signal Group Info'!P21="w",LEFT('3 - Signal Group Info'!P$6,1)&amp;"/",'3 - Signal Group Info'!P21&amp;"/"))&amp;IF('3 - Signal Group Info'!Q21="","",IF('3 - Signal Group Info'!Q21="w",LEFT('3 - Signal Group Info'!Q$6,1)&amp;"/",'3 - Signal Group Info'!Q21&amp;"/")),"")</f>
        <v>B/C/</v>
      </c>
      <c r="K17" s="87" t="str">
        <f t="shared" si="3"/>
        <v>B/C</v>
      </c>
      <c r="L17" s="87" t="str">
        <f>IF(H17="","",LEFT(RIGHT(H17,LEN(H17)-FIND("(",H17)),LEN(RIGHT(H17,LEN(H17)-FIND("(",H17)))-1))</f>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Document" ma:contentTypeID="0x0101007A7E2514DD4633478704AACB408D125D" ma:contentTypeVersion="102" ma:contentTypeDescription="Create a new document." ma:contentTypeScope="" ma:versionID="30fd58edfd545314cf3f7bccc52c55b4">
  <xsd:schema xmlns:xsd="http://www.w3.org/2001/XMLSchema" xmlns:xs="http://www.w3.org/2001/XMLSchema" xmlns:p="http://schemas.microsoft.com/office/2006/metadata/properties" xmlns:ns2="533ee4ac-7e8c-4471-9047-46ca856fa7c8" xmlns:ns3="4f9c820c-e7e2-444d-97ee-45f2b3485c1d" xmlns:ns4="15ffb055-6eb4-45a1-bc20-bf2ac0d420da" xmlns:ns5="725c79e5-42ce-4aa0-ac78-b6418001f0d2" xmlns:ns6="c91a514c-9034-4fa3-897a-8352025b26ed" xmlns:ns7="8e734c90-dc10-48dd-a748-407d16d18433" xmlns:ns8="291e52a0-10d3-4926-b75c-569761a2aef1" xmlns:ns9="53eb9b61-3304-4a5c-ad32-0b1195ef66bc" targetNamespace="http://schemas.microsoft.com/office/2006/metadata/properties" ma:root="true" ma:fieldsID="5fd38a38d6110a958b2f45cfb6012fdb" ns2:_="" ns3:_="" ns4:_="" ns5:_="" ns6:_="" ns7:_="" ns8:_="" ns9:_="">
    <xsd:import namespace="533ee4ac-7e8c-4471-9047-46ca856fa7c8"/>
    <xsd:import namespace="4f9c820c-e7e2-444d-97ee-45f2b3485c1d"/>
    <xsd:import namespace="15ffb055-6eb4-45a1-bc20-bf2ac0d420da"/>
    <xsd:import namespace="725c79e5-42ce-4aa0-ac78-b6418001f0d2"/>
    <xsd:import namespace="c91a514c-9034-4fa3-897a-8352025b26ed"/>
    <xsd:import namespace="8e734c90-dc10-48dd-a748-407d16d18433"/>
    <xsd:import namespace="291e52a0-10d3-4926-b75c-569761a2aef1"/>
    <xsd:import namespace="53eb9b61-3304-4a5c-ad32-0b1195ef66bc"/>
    <xsd:element name="properties">
      <xsd:complexType>
        <xsd:sequence>
          <xsd:element name="documentManagement">
            <xsd:complexType>
              <xsd:all>
                <xsd:element ref="ns2:_dlc_DocId" minOccurs="0"/>
                <xsd:element ref="ns2:_dlc_DocIdUrl" minOccurs="0"/>
                <xsd:element ref="ns2:_dlc_DocIdPersistId" minOccurs="0"/>
                <xsd:element ref="ns3:DocumentType" minOccurs="0"/>
                <xsd:element ref="ns4:KeyWords" minOccurs="0"/>
                <xsd:element ref="ns3:Narrative" minOccurs="0"/>
                <xsd:element ref="ns4:SecurityClassification" minOccurs="0"/>
                <xsd:element ref="ns3:Subactivity" minOccurs="0"/>
                <xsd:element ref="ns3:Case" minOccurs="0"/>
                <xsd:element ref="ns3:RelatedPeople" minOccurs="0"/>
                <xsd:element ref="ns3:CategoryName" minOccurs="0"/>
                <xsd:element ref="ns3:CategoryValue" minOccurs="0"/>
                <xsd:element ref="ns3:BusinessValue" minOccurs="0"/>
                <xsd:element ref="ns3:FunctionGroup" minOccurs="0"/>
                <xsd:element ref="ns3:Function" minOccurs="0"/>
                <xsd:element ref="ns3:PRAType" minOccurs="0"/>
                <xsd:element ref="ns3:PRADate1" minOccurs="0"/>
                <xsd:element ref="ns3:PRADate2" minOccurs="0"/>
                <xsd:element ref="ns3:PRADate3" minOccurs="0"/>
                <xsd:element ref="ns3:PRADateDisposal" minOccurs="0"/>
                <xsd:element ref="ns3:PRADateTrigger" minOccurs="0"/>
                <xsd:element ref="ns3:PRAText1" minOccurs="0"/>
                <xsd:element ref="ns3:PRAText2" minOccurs="0"/>
                <xsd:element ref="ns3:PRAText3" minOccurs="0"/>
                <xsd:element ref="ns3:PRAText4" minOccurs="0"/>
                <xsd:element ref="ns3:PRAText5" minOccurs="0"/>
                <xsd:element ref="ns3:AggregationStatus" minOccurs="0"/>
                <xsd:element ref="ns3:Project" minOccurs="0"/>
                <xsd:element ref="ns3:Activity" minOccurs="0"/>
                <xsd:element ref="ns5:AggregationNarrative" minOccurs="0"/>
                <xsd:element ref="ns6:Team" minOccurs="0"/>
                <xsd:element ref="ns6:Level2" minOccurs="0"/>
                <xsd:element ref="ns6:Level3" minOccurs="0"/>
                <xsd:element ref="ns6:Year" minOccurs="0"/>
                <xsd:element ref="ns7:SetLabel" minOccurs="0"/>
                <xsd:element ref="ns7:wic_System_GPS_Altitude" minOccurs="0"/>
                <xsd:element ref="ns7:wic_System_GPS_Latitude" minOccurs="0"/>
                <xsd:element ref="ns7:wic_System_GPS_Longitude" minOccurs="0"/>
                <xsd:element ref="ns7:zLegacy" minOccurs="0"/>
                <xsd:element ref="ns7:zLegacyJSON" minOccurs="0"/>
                <xsd:element ref="ns7:zMigrationID" minOccurs="0"/>
                <xsd:element ref="ns7:RecordID" minOccurs="0"/>
                <xsd:element ref="ns8:Level1" minOccurs="0"/>
                <xsd:element ref="ns9:MediaServiceMetadata" minOccurs="0"/>
                <xsd:element ref="ns9:MediaServiceFastMetadata" minOccurs="0"/>
                <xsd:element ref="ns9:MediaServiceSearchProperties" minOccurs="0"/>
                <xsd:element ref="ns9:MediaServiceObjectDetectorVersions" minOccurs="0"/>
                <xsd:element ref="ns9:AuthorityUNIDs" minOccurs="0"/>
                <xsd:element ref="ns9:lcf76f155ced4ddcb4097134ff3c332f" minOccurs="0"/>
                <xsd:element ref="ns2:TaxCatchAll" minOccurs="0"/>
                <xsd:element ref="ns9:MediaServiceOCR" minOccurs="0"/>
                <xsd:element ref="ns9:MediaServiceGenerationTime" minOccurs="0"/>
                <xsd:element ref="ns9:MediaServiceEventHashCode" minOccurs="0"/>
                <xsd:element ref="ns9:MediaServiceDateTaken" minOccurs="0"/>
                <xsd:element ref="ns9:MediaLengthInSeconds" minOccurs="0"/>
                <xsd:element ref="ns9:MediaServiceLocation" minOccurs="0"/>
                <xsd:element ref="ns9: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3ee4ac-7e8c-4471-9047-46ca856fa7c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59" nillable="true" ma:displayName="Taxonomy Catch All Column" ma:hidden="true" ma:list="{e1a079c8-8043-4f34-9ba5-333dd5d67ac1}" ma:internalName="TaxCatchAll" ma:showField="CatchAllData" ma:web="533ee4ac-7e8c-4471-9047-46ca856fa7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11" nillable="true" ma:displayName="Document Type" ma:format="Dropdown" ma:hidden="true" ma:internalName="DocumentType">
      <xsd:simpleType>
        <xsd:union memberTypes="dms:Text">
          <xsd:simpleType>
            <xsd:restriction base="dms:Choice">
              <xsd:enumeration value="APPLICATION, certificate, consent related"/>
              <xsd:enumeration value="CONTRACT, Variation, Agreement"/>
              <xsd:enumeration value="CORRESPONDENCE"/>
              <xsd:enumeration value="DRAWING, Plan, Map"/>
              <xsd:enumeration value="EMPLOYMENT related"/>
              <xsd:enumeration value="FINANCIAL related"/>
              <xsd:enumeration value="KNOWLEDGE article"/>
              <xsd:enumeration value="MEETING related"/>
              <xsd:enumeration value="MEMO, Filenote, Email"/>
              <xsd:enumeration value="MODEL, Calculation, Working"/>
              <xsd:enumeration value="PHOTO, Image or Multi-media"/>
              <xsd:enumeration value="PRESENTATION"/>
              <xsd:enumeration value="PUBLICATION material"/>
              <xsd:enumeration value="PURCHASING related"/>
              <xsd:enumeration value="REPORT, or planning related"/>
              <xsd:enumeration value="RULES, Policy, Bylaw, procedure"/>
              <xsd:enumeration value="SERVICE REQUEST related"/>
              <xsd:enumeration value="SPECIFICATION or standard"/>
              <xsd:enumeration value="SUPPLIER PRODUCT Info"/>
              <xsd:enumeration value="TEMPLATE, Checklist or Form"/>
            </xsd:restriction>
          </xsd:simpleType>
        </xsd:union>
      </xsd:simpleType>
    </xsd:element>
    <xsd:element name="Narrative" ma:index="13" nillable="true" ma:displayName="Narrative" ma:hidden="true" ma:internalName="Narrative" ma:readOnly="false">
      <xsd:simpleType>
        <xsd:restriction base="dms:Note"/>
      </xsd:simpleType>
    </xsd:element>
    <xsd:element name="Subactivity" ma:index="15" nillable="true" ma:displayName="Subactivity" ma:default="" ma:hidden="true" ma:internalName="Subactivity" ma:readOnly="false">
      <xsd:simpleType>
        <xsd:restriction base="dms:Text">
          <xsd:maxLength value="255"/>
        </xsd:restriction>
      </xsd:simpleType>
    </xsd:element>
    <xsd:element name="Case" ma:index="16" nillable="true" ma:displayName="Case" ma:default="NA" ma:hidden="true" ma:internalName="Case" ma:readOnly="false">
      <xsd:simpleType>
        <xsd:restriction base="dms:Text">
          <xsd:maxLength value="255"/>
        </xsd:restriction>
      </xsd:simpleType>
    </xsd:element>
    <xsd:element name="RelatedPeople" ma:index="17"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goryName" ma:index="18" nillable="true" ma:displayName="Category 1" ma:default="NA" ma:hidden="true" ma:internalName="CategoryName" ma:readOnly="false">
      <xsd:simpleType>
        <xsd:restriction base="dms:Text">
          <xsd:maxLength value="255"/>
        </xsd:restriction>
      </xsd:simpleType>
    </xsd:element>
    <xsd:element name="CategoryValue" ma:index="19" nillable="true" ma:displayName="Category 2" ma:default="NA" ma:hidden="true" ma:internalName="CategoryValue" ma:readOnly="false">
      <xsd:simpleType>
        <xsd:restriction base="dms:Text">
          <xsd:maxLength value="255"/>
        </xsd:restriction>
      </xsd:simpleType>
    </xsd:element>
    <xsd:element name="BusinessValue" ma:index="20" nillable="true" ma:displayName="Business Value" ma:hidden="true" ma:internalName="BusinessValue" ma:readOnly="false">
      <xsd:simpleType>
        <xsd:restriction base="dms:Text">
          <xsd:maxLength value="255"/>
        </xsd:restriction>
      </xsd:simpleType>
    </xsd:element>
    <xsd:element name="FunctionGroup" ma:index="21" nillable="true" ma:displayName="Function Group" ma:default="Roading and Transportation" ma:hidden="true" ma:internalName="FunctionGroup" ma:readOnly="false">
      <xsd:simpleType>
        <xsd:restriction base="dms:Text">
          <xsd:maxLength value="255"/>
        </xsd:restriction>
      </xsd:simpleType>
    </xsd:element>
    <xsd:element name="Function" ma:index="22" nillable="true" ma:displayName="Function" ma:default="Operational Activity" ma:hidden="true" ma:internalName="Function" ma:readOnly="false">
      <xsd:simpleType>
        <xsd:restriction base="dms:Text">
          <xsd:maxLength value="255"/>
        </xsd:restriction>
      </xsd:simpleType>
    </xsd:element>
    <xsd:element name="PRAType" ma:index="23" nillable="true" ma:displayName="PRA Type" ma:default="Doc" ma:hidden="true" ma:indexed="true" ma:internalName="PRAType">
      <xsd:simpleType>
        <xsd:restriction base="dms:Text">
          <xsd:maxLength value="255"/>
        </xsd:restriction>
      </xsd:simpleType>
    </xsd:element>
    <xsd:element name="PRADate1" ma:index="24" nillable="true" ma:displayName="PRA Date 1" ma:format="DateOnly" ma:hidden="true" ma:internalName="PRADate1" ma:readOnly="false">
      <xsd:simpleType>
        <xsd:restriction base="dms:DateTime"/>
      </xsd:simpleType>
    </xsd:element>
    <xsd:element name="PRADate2" ma:index="25" nillable="true" ma:displayName="PRA Date 2" ma:format="DateOnly" ma:hidden="true" ma:internalName="PRADate2" ma:readOnly="false">
      <xsd:simpleType>
        <xsd:restriction base="dms:DateTime"/>
      </xsd:simpleType>
    </xsd:element>
    <xsd:element name="PRADate3" ma:index="26" nillable="true" ma:displayName="PRA Date 3" ma:format="DateOnly" ma:hidden="true" ma:internalName="PRADate3" ma:readOnly="false">
      <xsd:simpleType>
        <xsd:restriction base="dms:DateTime"/>
      </xsd:simpleType>
    </xsd:element>
    <xsd:element name="PRADateDisposal" ma:index="27" nillable="true" ma:displayName="PRA Date Disposal" ma:format="DateOnly" ma:hidden="true" ma:internalName="PRADateDisposal" ma:readOnly="false">
      <xsd:simpleType>
        <xsd:restriction base="dms:DateTime"/>
      </xsd:simpleType>
    </xsd:element>
    <xsd:element name="PRADateTrigger" ma:index="28" nillable="true" ma:displayName="PRA Date Trigger" ma:format="DateOnly" ma:hidden="true" ma:internalName="PRADateTrigger" ma:readOnly="false">
      <xsd:simpleType>
        <xsd:restriction base="dms:DateTime"/>
      </xsd:simpleType>
    </xsd:element>
    <xsd:element name="PRAText1" ma:index="29" nillable="true" ma:displayName="PRA Text 1" ma:hidden="true" ma:internalName="PRAText1" ma:readOnly="false">
      <xsd:simpleType>
        <xsd:restriction base="dms:Text">
          <xsd:maxLength value="255"/>
        </xsd:restriction>
      </xsd:simpleType>
    </xsd:element>
    <xsd:element name="PRAText2" ma:index="30" nillable="true" ma:displayName="PRA Text 2" ma:hidden="true" ma:internalName="PRAText2" ma:readOnly="false">
      <xsd:simpleType>
        <xsd:restriction base="dms:Text">
          <xsd:maxLength value="255"/>
        </xsd:restriction>
      </xsd:simpleType>
    </xsd:element>
    <xsd:element name="PRAText3" ma:index="31" nillable="true" ma:displayName="PRA Text 3" ma:hidden="true" ma:internalName="PRAText3" ma:readOnly="false">
      <xsd:simpleType>
        <xsd:restriction base="dms:Text">
          <xsd:maxLength value="255"/>
        </xsd:restriction>
      </xsd:simpleType>
    </xsd:element>
    <xsd:element name="PRAText4" ma:index="32" nillable="true" ma:displayName="PRA Text 4" ma:hidden="true" ma:internalName="PRAText4" ma:readOnly="false">
      <xsd:simpleType>
        <xsd:restriction base="dms:Text">
          <xsd:maxLength value="255"/>
        </xsd:restriction>
      </xsd:simpleType>
    </xsd:element>
    <xsd:element name="PRAText5" ma:index="33" nillable="true" ma:displayName="PRA Text 5" ma:hidden="true" ma:internalName="PRAText5" ma:readOnly="false">
      <xsd:simpleType>
        <xsd:restriction base="dms:Text">
          <xsd:maxLength value="255"/>
        </xsd:restriction>
      </xsd:simpleType>
    </xsd:element>
    <xsd:element name="AggregationStatus" ma:index="34" nillable="true" ma:displayName="Aggregation Status" ma:default="Normal" ma:format="Dropdown" ma:hidden="true" ma:internalName="AggregationStatus" ma:readOnly="false">
      <xsd:simpleType>
        <xsd:union memberTypes="dms:Text">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restriction>
          </xsd:simpleType>
        </xsd:union>
      </xsd:simpleType>
    </xsd:element>
    <xsd:element name="Project" ma:index="35" nillable="true" ma:displayName="Project" ma:default="NA" ma:hidden="true" ma:internalName="Project" ma:readOnly="false">
      <xsd:simpleType>
        <xsd:restriction base="dms:Text">
          <xsd:maxLength value="255"/>
        </xsd:restriction>
      </xsd:simpleType>
    </xsd:element>
    <xsd:element name="Activity" ma:index="36" nillable="true" ma:displayName="Activity" ma:default="" ma:hidden="true" ma:internalName="Activ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KeyWords" ma:index="12" nillable="true" ma:displayName="Key Words" ma:hidden="true" ma:internalName="KeyWords" ma:readOnly="false">
      <xsd:simpleType>
        <xsd:restriction base="dms:Note"/>
      </xsd:simpleType>
    </xsd:element>
    <xsd:element name="SecurityClassification" ma:index="14" nillable="true" ma:displayName="Security Classification" ma:default="HCC Only" ma:format="Dropdown" ma:internalName="SecurityClassification" ma:readOnly="false">
      <xsd:simpleType>
        <xsd:restriction base="dms:Choice">
          <xsd:enumeration value="HCC Only"/>
          <xsd:enumeration value="Public"/>
        </xsd:restriction>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37" nillable="true" ma:displayName="Aggregation Narrative" ma:hidden="true" ma:internalName="AggregationNarrativ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Team" ma:index="38" nillable="true" ma:displayName="Team" ma:default="Operational Activity" ma:hidden="true" ma:internalName="Team" ma:readOnly="false">
      <xsd:simpleType>
        <xsd:restriction base="dms:Text">
          <xsd:maxLength value="255"/>
        </xsd:restriction>
      </xsd:simpleType>
    </xsd:element>
    <xsd:element name="Level2" ma:index="39" nillable="true" ma:displayName="Level2" ma:default="NA" ma:hidden="true" ma:internalName="Level2" ma:readOnly="false">
      <xsd:simpleType>
        <xsd:restriction base="dms:Text">
          <xsd:maxLength value="255"/>
        </xsd:restriction>
      </xsd:simpleType>
    </xsd:element>
    <xsd:element name="Level3" ma:index="40" nillable="true" ma:displayName="Level3" ma:hidden="true" ma:internalName="Level3" ma:readOnly="false">
      <xsd:simpleType>
        <xsd:restriction base="dms:Text">
          <xsd:maxLength value="255"/>
        </xsd:restriction>
      </xsd:simpleType>
    </xsd:element>
    <xsd:element name="Year" ma:index="41" nillable="true" ma:displayName="Year" ma:default="NA" ma:hidden="true" ma:internalName="Yea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734c90-dc10-48dd-a748-407d16d18433" elementFormDefault="qualified">
    <xsd:import namespace="http://schemas.microsoft.com/office/2006/documentManagement/types"/>
    <xsd:import namespace="http://schemas.microsoft.com/office/infopath/2007/PartnerControls"/>
    <xsd:element name="SetLabel" ma:index="42" nillable="true" ma:displayName="Set Label" ma:default="D07M" ma:hidden="true" ma:internalName="SetLabel">
      <xsd:simpleType>
        <xsd:restriction base="dms:Text">
          <xsd:maxLength value="255"/>
        </xsd:restriction>
      </xsd:simpleType>
    </xsd:element>
    <xsd:element name="wic_System_GPS_Altitude" ma:index="43" nillable="true" ma:displayName="wic_System_GPS_Altitude" ma:hidden="true" ma:internalName="wic_System_GPS_Altitude" ma:readOnly="false">
      <xsd:simpleType>
        <xsd:restriction base="dms:Text">
          <xsd:maxLength value="255"/>
        </xsd:restriction>
      </xsd:simpleType>
    </xsd:element>
    <xsd:element name="wic_System_GPS_Latitude" ma:index="44" nillable="true" ma:displayName="wic_System_GPS_Latitude" ma:hidden="true" ma:internalName="wic_System_GPS_Latitude" ma:readOnly="false">
      <xsd:simpleType>
        <xsd:restriction base="dms:Text">
          <xsd:maxLength value="255"/>
        </xsd:restriction>
      </xsd:simpleType>
    </xsd:element>
    <xsd:element name="wic_System_GPS_Longitude" ma:index="45" nillable="true" ma:displayName="wic_System_GPS_Longitude" ma:hidden="true" ma:internalName="wic_System_GPS_Longitude" ma:readOnly="false">
      <xsd:simpleType>
        <xsd:restriction base="dms:Text">
          <xsd:maxLength value="255"/>
        </xsd:restriction>
      </xsd:simpleType>
    </xsd:element>
    <xsd:element name="zLegacy" ma:index="46" nillable="true" ma:displayName="zLegacy" ma:hidden="true" ma:internalName="zLegacy" ma:readOnly="false">
      <xsd:simpleType>
        <xsd:restriction base="dms:Note"/>
      </xsd:simpleType>
    </xsd:element>
    <xsd:element name="zLegacyJSON" ma:index="47" nillable="true" ma:displayName="zLegacyJSON" ma:hidden="true" ma:internalName="zLegacyJSON" ma:readOnly="false">
      <xsd:simpleType>
        <xsd:restriction base="dms:Note"/>
      </xsd:simpleType>
    </xsd:element>
    <xsd:element name="zMigrationID" ma:index="48" nillable="true" ma:displayName="zMigrationID" ma:hidden="true" ma:indexed="true" ma:internalName="zMigrationID">
      <xsd:simpleType>
        <xsd:restriction base="dms:Text">
          <xsd:maxLength value="255"/>
        </xsd:restriction>
      </xsd:simpleType>
    </xsd:element>
    <xsd:element name="RecordID" ma:index="49" nillable="true" ma:displayName="RecordID" ma:hidden="true" ma:internalName="RecordID"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1e52a0-10d3-4926-b75c-569761a2aef1" elementFormDefault="qualified">
    <xsd:import namespace="http://schemas.microsoft.com/office/2006/documentManagement/types"/>
    <xsd:import namespace="http://schemas.microsoft.com/office/infopath/2007/PartnerControls"/>
    <xsd:element name="Level1" ma:index="50" nillable="true" ma:displayName="Level1" ma:default="NA" ma:hidden="true" ma:internalName="Level1"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3eb9b61-3304-4a5c-ad32-0b1195ef66bc" elementFormDefault="qualified">
    <xsd:import namespace="http://schemas.microsoft.com/office/2006/documentManagement/types"/>
    <xsd:import namespace="http://schemas.microsoft.com/office/infopath/2007/PartnerControls"/>
    <xsd:element name="MediaServiceMetadata" ma:index="52" nillable="true" ma:displayName="MediaServiceMetadata" ma:hidden="true" ma:internalName="MediaServiceMetadata" ma:readOnly="true">
      <xsd:simpleType>
        <xsd:restriction base="dms:Note"/>
      </xsd:simpleType>
    </xsd:element>
    <xsd:element name="MediaServiceFastMetadata" ma:index="53" nillable="true" ma:displayName="MediaServiceFastMetadata" ma:hidden="true" ma:internalName="MediaServiceFastMetadata" ma:readOnly="true">
      <xsd:simpleType>
        <xsd:restriction base="dms:Note"/>
      </xsd:simpleType>
    </xsd:element>
    <xsd:element name="MediaServiceSearchProperties" ma:index="54" nillable="true" ma:displayName="MediaServiceSearchProperties" ma:hidden="true" ma:internalName="MediaServiceSearchProperties" ma:readOnly="true">
      <xsd:simpleType>
        <xsd:restriction base="dms:Note"/>
      </xsd:simpleType>
    </xsd:element>
    <xsd:element name="MediaServiceObjectDetectorVersions" ma:index="55" nillable="true" ma:displayName="MediaServiceObjectDetectorVersions" ma:hidden="true" ma:indexed="true" ma:internalName="MediaServiceObjectDetectorVersions" ma:readOnly="true">
      <xsd:simpleType>
        <xsd:restriction base="dms:Text"/>
      </xsd:simpleType>
    </xsd:element>
    <xsd:element name="AuthorityUNIDs" ma:index="56" nillable="true" ma:displayName="AuthorityUNIDs" ma:internalName="AuthorityUNIDs">
      <xsd:simpleType>
        <xsd:restriction base="dms:Note"/>
      </xsd:simpleType>
    </xsd:element>
    <xsd:element name="lcf76f155ced4ddcb4097134ff3c332f" ma:index="58" nillable="true" ma:taxonomy="true" ma:internalName="lcf76f155ced4ddcb4097134ff3c332f" ma:taxonomyFieldName="MediaServiceImageTags" ma:displayName="Image Tags" ma:readOnly="false" ma:fieldId="{5cf76f15-5ced-4ddc-b409-7134ff3c332f}" ma:taxonomyMulti="true" ma:sspId="9a7cd189-462b-421b-b3aa-9fbf4985cfe5" ma:termSetId="09814cd3-568e-fe90-9814-8d621ff8fb84" ma:anchorId="fba54fb3-c3e1-fe81-a776-ca4b69148c4d" ma:open="true" ma:isKeyword="false">
      <xsd:complexType>
        <xsd:sequence>
          <xsd:element ref="pc:Terms" minOccurs="0" maxOccurs="1"/>
        </xsd:sequence>
      </xsd:complexType>
    </xsd:element>
    <xsd:element name="MediaServiceOCR" ma:index="60" nillable="true" ma:displayName="Extracted Text" ma:internalName="MediaServiceOCR" ma:readOnly="true">
      <xsd:simpleType>
        <xsd:restriction base="dms:Note">
          <xsd:maxLength value="255"/>
        </xsd:restriction>
      </xsd:simpleType>
    </xsd:element>
    <xsd:element name="MediaServiceGenerationTime" ma:index="61" nillable="true" ma:displayName="MediaServiceGenerationTime" ma:hidden="true" ma:internalName="MediaServiceGenerationTime" ma:readOnly="true">
      <xsd:simpleType>
        <xsd:restriction base="dms:Text"/>
      </xsd:simpleType>
    </xsd:element>
    <xsd:element name="MediaServiceEventHashCode" ma:index="62" nillable="true" ma:displayName="MediaServiceEventHashCode" ma:hidden="true" ma:internalName="MediaServiceEventHashCode" ma:readOnly="true">
      <xsd:simpleType>
        <xsd:restriction base="dms:Text"/>
      </xsd:simpleType>
    </xsd:element>
    <xsd:element name="MediaServiceDateTaken" ma:index="63" nillable="true" ma:displayName="MediaServiceDateTaken" ma:hidden="true" ma:indexed="true" ma:internalName="MediaServiceDateTaken" ma:readOnly="true">
      <xsd:simpleType>
        <xsd:restriction base="dms:Text"/>
      </xsd:simpleType>
    </xsd:element>
    <xsd:element name="MediaLengthInSeconds" ma:index="64" nillable="true" ma:displayName="MediaLengthInSeconds" ma:hidden="true" ma:internalName="MediaLengthInSeconds" ma:readOnly="true">
      <xsd:simpleType>
        <xsd:restriction base="dms:Unknown"/>
      </xsd:simpleType>
    </xsd:element>
    <xsd:element name="MediaServiceLocation" ma:index="65" nillable="true" ma:displayName="Location" ma:indexed="true" ma:internalName="MediaServiceLocation" ma:readOnly="true">
      <xsd:simpleType>
        <xsd:restriction base="dms:Text"/>
      </xsd:simpleType>
    </xsd:element>
    <xsd:element name="MediaServiceBillingMetadata" ma:index="6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ubactivity xmlns="4f9c820c-e7e2-444d-97ee-45f2b3485c1d">Projects - Smart-Ops</Subactivity>
    <BusinessValue xmlns="4f9c820c-e7e2-444d-97ee-45f2b3485c1d" xsi:nil="true"/>
    <PRADateDisposal xmlns="4f9c820c-e7e2-444d-97ee-45f2b3485c1d" xsi:nil="true"/>
    <AuthorityUNIDs xmlns="53eb9b61-3304-4a5c-ad32-0b1195ef66bc" xsi:nil="true"/>
    <KeyWords xmlns="15ffb055-6eb4-45a1-bc20-bf2ac0d420da" xsi:nil="true"/>
    <SecurityClassification xmlns="15ffb055-6eb4-45a1-bc20-bf2ac0d420da">HCC Only</SecurityClassification>
    <PRADate3 xmlns="4f9c820c-e7e2-444d-97ee-45f2b3485c1d" xsi:nil="true"/>
    <PRAText5 xmlns="4f9c820c-e7e2-444d-97ee-45f2b3485c1d" xsi:nil="true"/>
    <Level2 xmlns="c91a514c-9034-4fa3-897a-8352025b26ed">NA</Level2>
    <Activity xmlns="4f9c820c-e7e2-444d-97ee-45f2b3485c1d">Data Analytics</Activity>
    <AggregationStatus xmlns="4f9c820c-e7e2-444d-97ee-45f2b3485c1d">Normal</AggregationStatus>
    <CategoryValue xmlns="4f9c820c-e7e2-444d-97ee-45f2b3485c1d">NA</CategoryValue>
    <PRADate2 xmlns="4f9c820c-e7e2-444d-97ee-45f2b3485c1d" xsi:nil="true"/>
    <Case xmlns="4f9c820c-e7e2-444d-97ee-45f2b3485c1d">NA</Case>
    <PRAText1 xmlns="4f9c820c-e7e2-444d-97ee-45f2b3485c1d" xsi:nil="true"/>
    <PRAText4 xmlns="4f9c820c-e7e2-444d-97ee-45f2b3485c1d" xsi:nil="true"/>
    <Level3 xmlns="c91a514c-9034-4fa3-897a-8352025b26ed" xsi:nil="true"/>
    <Team xmlns="c91a514c-9034-4fa3-897a-8352025b26ed">Operational Activity</Team>
    <wic_System_GPS_Latitude xmlns="8e734c90-dc10-48dd-a748-407d16d18433" xsi:nil="true"/>
    <Project xmlns="4f9c820c-e7e2-444d-97ee-45f2b3485c1d">NA</Project>
    <wic_System_GPS_Altitude xmlns="8e734c90-dc10-48dd-a748-407d16d18433" xsi:nil="true"/>
    <TaxCatchAll xmlns="533ee4ac-7e8c-4471-9047-46ca856fa7c8" xsi:nil="true"/>
    <FunctionGroup xmlns="4f9c820c-e7e2-444d-97ee-45f2b3485c1d">Roading and Transportation</FunctionGroup>
    <Function xmlns="4f9c820c-e7e2-444d-97ee-45f2b3485c1d">Operational Activity</Function>
    <wic_System_GPS_Longitude xmlns="8e734c90-dc10-48dd-a748-407d16d18433" xsi:nil="true"/>
    <RelatedPeople xmlns="4f9c820c-e7e2-444d-97ee-45f2b3485c1d">
      <UserInfo>
        <DisplayName/>
        <AccountId xsi:nil="true"/>
        <AccountType/>
      </UserInfo>
    </RelatedPeople>
    <AggregationNarrative xmlns="725c79e5-42ce-4aa0-ac78-b6418001f0d2" xsi:nil="true"/>
    <PRAType xmlns="4f9c820c-e7e2-444d-97ee-45f2b3485c1d">Doc</PRAType>
    <PRADate1 xmlns="4f9c820c-e7e2-444d-97ee-45f2b3485c1d" xsi:nil="true"/>
    <SetLabel xmlns="8e734c90-dc10-48dd-a748-407d16d18433">D07M</SetLabel>
    <zMigrationID xmlns="8e734c90-dc10-48dd-a748-407d16d18433" xsi:nil="true"/>
    <DocumentType xmlns="4f9c820c-e7e2-444d-97ee-45f2b3485c1d" xsi:nil="true"/>
    <PRAText3 xmlns="4f9c820c-e7e2-444d-97ee-45f2b3485c1d" xsi:nil="true"/>
    <lcf76f155ced4ddcb4097134ff3c332f xmlns="53eb9b61-3304-4a5c-ad32-0b1195ef66bc">
      <Terms xmlns="http://schemas.microsoft.com/office/infopath/2007/PartnerControls"/>
    </lcf76f155ced4ddcb4097134ff3c332f>
    <Year xmlns="c91a514c-9034-4fa3-897a-8352025b26ed">NA</Year>
    <Narrative xmlns="4f9c820c-e7e2-444d-97ee-45f2b3485c1d" xsi:nil="true"/>
    <CategoryName xmlns="4f9c820c-e7e2-444d-97ee-45f2b3485c1d">NA</CategoryName>
    <PRADateTrigger xmlns="4f9c820c-e7e2-444d-97ee-45f2b3485c1d">2022-03-21T11:00:00+00:00</PRADateTrigger>
    <zLegacy xmlns="8e734c90-dc10-48dd-a748-407d16d18433" xsi:nil="true"/>
    <PRAText2 xmlns="4f9c820c-e7e2-444d-97ee-45f2b3485c1d" xsi:nil="true"/>
    <zLegacyJSON xmlns="8e734c90-dc10-48dd-a748-407d16d18433" xsi:nil="true"/>
    <RecordID xmlns="8e734c90-dc10-48dd-a748-407d16d18433" xsi:nil="true"/>
    <Level1 xmlns="291e52a0-10d3-4926-b75c-569761a2aef1">NA</Level1>
    <_dlc_DocId xmlns="533ee4ac-7e8c-4471-9047-46ca856fa7c8">U5RCTUST6MMN-1297529125-650249</_dlc_DocId>
    <_dlc_DocIdUrl xmlns="533ee4ac-7e8c-4471-9047-46ca856fa7c8">
      <Url>https://hccgovtnz.sharepoint.com/sites/tahi-opactivity/_layouts/15/DocIdRedir.aspx?ID=U5RCTUST6MMN-1297529125-650249</Url>
      <Description>U5RCTUST6MMN-1297529125-650249</Description>
    </_dlc_DocIdUrl>
    <MediaLengthInSeconds xmlns="53eb9b61-3304-4a5c-ad32-0b1195ef66bc" xsi:nil="true"/>
    <_dlc_DocIdPersistId xmlns="533ee4ac-7e8c-4471-9047-46ca856fa7c8">false</_dlc_DocIdPersist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0547D54-0A4E-4D7F-9D8E-7B614CE2FEB9}"/>
</file>

<file path=customXml/itemProps2.xml><?xml version="1.0" encoding="utf-8"?>
<ds:datastoreItem xmlns:ds="http://schemas.openxmlformats.org/officeDocument/2006/customXml" ds:itemID="{F1D43E7D-2A90-42F6-8EC4-A8C96B405960}">
  <ds:schemaRefs>
    <ds:schemaRef ds:uri="http://www.w3.org/XML/1998/namespace"/>
    <ds:schemaRef ds:uri="http://schemas.microsoft.com/office/2006/metadata/properties"/>
    <ds:schemaRef ds:uri="53eb9b61-3304-4a5c-ad32-0b1195ef66bc"/>
    <ds:schemaRef ds:uri="725c79e5-42ce-4aa0-ac78-b6418001f0d2"/>
    <ds:schemaRef ds:uri="http://purl.org/dc/terms/"/>
    <ds:schemaRef ds:uri="http://schemas.microsoft.com/office/infopath/2007/PartnerControls"/>
    <ds:schemaRef ds:uri="http://purl.org/dc/dcmitype/"/>
    <ds:schemaRef ds:uri="http://schemas.microsoft.com/office/2006/documentManagement/types"/>
    <ds:schemaRef ds:uri="http://purl.org/dc/elements/1.1/"/>
    <ds:schemaRef ds:uri="8e734c90-dc10-48dd-a748-407d16d18433"/>
    <ds:schemaRef ds:uri="c91a514c-9034-4fa3-897a-8352025b26ed"/>
    <ds:schemaRef ds:uri="291e52a0-10d3-4926-b75c-569761a2aef1"/>
    <ds:schemaRef ds:uri="15ffb055-6eb4-45a1-bc20-bf2ac0d420da"/>
    <ds:schemaRef ds:uri="533ee4ac-7e8c-4471-9047-46ca856fa7c8"/>
    <ds:schemaRef ds:uri="4f9c820c-e7e2-444d-97ee-45f2b3485c1d"/>
    <ds:schemaRef ds:uri="http://schemas.openxmlformats.org/package/2006/metadata/core-properties"/>
  </ds:schemaRefs>
</ds:datastoreItem>
</file>

<file path=customXml/itemProps3.xml><?xml version="1.0" encoding="utf-8"?>
<ds:datastoreItem xmlns:ds="http://schemas.openxmlformats.org/officeDocument/2006/customXml" ds:itemID="{910739AD-AA92-418C-BACC-2C758068D9F7}">
  <ds:schemaRefs>
    <ds:schemaRef ds:uri="http://schemas.microsoft.com/sharepoint/v3/contenttype/forms"/>
  </ds:schemaRefs>
</ds:datastoreItem>
</file>

<file path=customXml/itemProps4.xml><?xml version="1.0" encoding="utf-8"?>
<ds:datastoreItem xmlns:ds="http://schemas.openxmlformats.org/officeDocument/2006/customXml" ds:itemID="{306F662A-5147-49D9-B363-9D3620F494A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1 - Cover</vt:lpstr>
      <vt:lpstr>2 - Install notes</vt:lpstr>
      <vt:lpstr>2a - Install notes SCATS CONFIG</vt:lpstr>
      <vt:lpstr>3 - Signal Group Info</vt:lpstr>
      <vt:lpstr>4 - Phase Control</vt:lpstr>
      <vt:lpstr>5 - Detectors </vt:lpstr>
      <vt:lpstr>5a - DAC's</vt:lpstr>
      <vt:lpstr>6 - Time Settings</vt:lpstr>
      <vt:lpstr>7 - Peds</vt:lpstr>
      <vt:lpstr>8 - Spec.Timers &amp; Notes</vt:lpstr>
      <vt:lpstr>9 - Flexi &amp; Special Flags</vt:lpstr>
      <vt:lpstr>10 - Conflict Matrix</vt:lpstr>
      <vt:lpstr>11 - All Red</vt:lpstr>
      <vt:lpstr>Lists</vt:lpstr>
      <vt:lpstr>phasegroups</vt:lpstr>
      <vt:lpstr>phasing</vt:lpstr>
      <vt:lpstr>'1 - Cover'!Print_Area</vt:lpstr>
      <vt:lpstr>'10 - Conflict Matrix'!Print_Area</vt:lpstr>
      <vt:lpstr>'11 - All Red'!Print_Area</vt:lpstr>
      <vt:lpstr>'2 - Install notes'!Print_Area</vt:lpstr>
      <vt:lpstr>'2a - Install notes SCATS CONFIG'!Print_Area</vt:lpstr>
      <vt:lpstr>'3 - Signal Group Info'!Print_Area</vt:lpstr>
      <vt:lpstr>'4 - Phase Control'!Print_Area</vt:lpstr>
      <vt:lpstr>'5 - Detectors '!Print_Area</vt:lpstr>
      <vt:lpstr>'5a - DAC''s'!Print_Area</vt:lpstr>
      <vt:lpstr>'6 - Time Settings'!Print_Area</vt:lpstr>
      <vt:lpstr>'7 - Peds'!Print_Area</vt:lpstr>
      <vt:lpstr>'8 - Spec.Timers &amp; Notes'!Print_Area</vt:lpstr>
      <vt:lpstr>'9 - Flexi &amp; Special Flags'!Print_Area</vt:lpstr>
    </vt:vector>
  </TitlesOfParts>
  <Manager/>
  <Company>Transit NZ - Traffic Management Unit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CIS Proforma Ver 14f</dc:title>
  <dc:subject>October 2006</dc:subject>
  <dc:creator>various</dc:creator>
  <cp:keywords/>
  <dc:description>issued 20 May 2007</dc:description>
  <cp:lastModifiedBy>Brandon Harley</cp:lastModifiedBy>
  <cp:revision/>
  <dcterms:created xsi:type="dcterms:W3CDTF">2004-08-17T07:25:30Z</dcterms:created>
  <dcterms:modified xsi:type="dcterms:W3CDTF">2024-10-17T20:09:19Z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0x0101007A7E2514DD4633478704AACB408D125D</vt:lpwstr>
  </property>
  <property fmtid="{D5CDD505-2E9C-101B-9397-08002B2CF9AE}" pid="3" name="Order">
    <vt:r8>100</vt:r8>
  </property>
  <property fmtid="{D5CDD505-2E9C-101B-9397-08002B2CF9AE}" pid="4" name="MediaServiceImageTags">
    <vt:lpwstr/>
  </property>
  <property fmtid="{D5CDD505-2E9C-101B-9397-08002B2CF9AE}" pid="5" name="_dlc_DocIdItemGuid">
    <vt:lpwstr>4efc72a5-a454-40e5-b0a2-51551858625f</vt:lpwstr>
  </property>
  <property fmtid="{D5CDD505-2E9C-101B-9397-08002B2CF9AE}" pid="6" name="OriginalSubject">
    <vt:lpwstr/>
  </property>
  <property fmtid="{D5CDD505-2E9C-101B-9397-08002B2CF9AE}" pid="7" name="MailPreviewData">
    <vt:lpwstr/>
  </property>
  <property fmtid="{D5CDD505-2E9C-101B-9397-08002B2CF9AE}" pid="8" name="ILFrom">
    <vt:lpwstr/>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To">
    <vt:lpwstr/>
  </property>
  <property fmtid="{D5CDD505-2E9C-101B-9397-08002B2CF9AE}" pid="13" name="_ExtendedDescription">
    <vt:lpwstr/>
  </property>
  <property fmtid="{D5CDD505-2E9C-101B-9397-08002B2CF9AE}" pid="14" name="TriggerFlowInfo">
    <vt:lpwstr/>
  </property>
  <property fmtid="{D5CDD505-2E9C-101B-9397-08002B2CF9AE}" pid="15" name="Channel">
    <vt:lpwstr>General</vt:lpwstr>
  </property>
  <property fmtid="{D5CDD505-2E9C-101B-9397-08002B2CF9AE}" pid="16" name="xd_Signature">
    <vt:bool>false</vt:bool>
  </property>
  <property fmtid="{D5CDD505-2E9C-101B-9397-08002B2CF9AE}" pid="17" name="HarmonieUIHidden">
    <vt:lpwstr/>
  </property>
</Properties>
</file>